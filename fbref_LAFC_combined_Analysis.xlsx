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hidePivotFieldList="1" defaultThemeVersion="202300"/>
  <mc:AlternateContent xmlns:mc="http://schemas.openxmlformats.org/markup-compatibility/2006">
    <mc:Choice Requires="x15">
      <x15ac:absPath xmlns:x15ac="http://schemas.microsoft.com/office/spreadsheetml/2010/11/ac" url="/Users/nathanchapero/Downloads/lafc-win-analysis:/data:/"/>
    </mc:Choice>
  </mc:AlternateContent>
  <xr:revisionPtr revIDLastSave="0" documentId="13_ncr:1_{4DBDE749-AF82-C449-9533-969F5AF1B269}" xr6:coauthVersionLast="47" xr6:coauthVersionMax="47" xr10:uidLastSave="{00000000-0000-0000-0000-000000000000}"/>
  <bookViews>
    <workbookView xWindow="-20" yWindow="600" windowWidth="28800" windowHeight="17400" xr2:uid="{DB133330-AD90-E241-BBA9-712D80649153}"/>
  </bookViews>
  <sheets>
    <sheet name="FinalLAFC_combined_analysis_CSV" sheetId="8" r:id="rId1"/>
    <sheet name="Final_Visualizations" sheetId="5" r:id="rId2"/>
    <sheet name="Final_Visualization_PivotTables" sheetId="7" r:id="rId3"/>
    <sheet name="Vela_combined_all_matches" sheetId="3" state="hidden" r:id="rId4"/>
    <sheet name="TestPivots" sheetId="4" r:id="rId5"/>
    <sheet name="Original_LAFC_combined_analysis" sheetId="2" r:id="rId6"/>
  </sheets>
  <definedNames>
    <definedName name="ExternalData_1" localSheetId="5" hidden="1">Original_LAFC_combined_analysis!$A$1:$Y$205</definedName>
    <definedName name="ExternalData_2" localSheetId="0" hidden="1">FinalLAFC_combined_analysis_CSV!$A$1:$V$205</definedName>
    <definedName name="ExternalData_2" localSheetId="3" hidden="1">Vela_combined_all_matches!$A$1:$C$205</definedName>
    <definedName name="Slicer_Season">#N/A</definedName>
    <definedName name="solver_eng" localSheetId="5" hidden="1">1</definedName>
    <definedName name="solver_lin" localSheetId="5" hidden="1">2</definedName>
    <definedName name="solver_neg" localSheetId="5" hidden="1">1</definedName>
    <definedName name="solver_num" localSheetId="5" hidden="1">0</definedName>
    <definedName name="solver_opt" localSheetId="5" hidden="1">Original_LAFC_combined_analysis!$A$1</definedName>
    <definedName name="solver_typ" localSheetId="5" hidden="1">1</definedName>
    <definedName name="solver_val" localSheetId="5" hidden="1">0</definedName>
    <definedName name="solver_ver" localSheetId="5" hidden="1">2</definedName>
  </definedNames>
  <calcPr calcId="191029"/>
  <pivotCaches>
    <pivotCache cacheId="0" r:id="rId7"/>
    <pivotCache cacheId="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2A015D-C946-A04C-9218-F0CF3E607291}" keepAlive="1" name="Query - combined_all_matches" description="Connection to the 'combined_all_matches' query in the workbook." type="5" refreshedVersion="8" background="1" saveData="1">
    <dbPr connection="Provider=Microsoft.Mashup.OleDb.1;Data Source=$Workbook$;Location=combined_all_matches;Extended Properties=&quot;&quot;" command="SELECT * FROM [combined_all_matches]"/>
  </connection>
  <connection id="2" xr16:uid="{20A6DDDB-CD29-5949-9A4A-85E260C81BC2}" keepAlive="1" name="Query - combined_all_matches_CSV" description="Connection to the 'combined_all_matches_CSV' query in the workbook." type="5" refreshedVersion="8" background="1" saveData="1">
    <dbPr connection="Provider=Microsoft.Mashup.OleDb.1;Data Source=$Workbook$;Location=combined_all_matches_CSV;Extended Properties=&quot;&quot;" command="SELECT * FROM [combined_all_matches_CSV]"/>
  </connection>
  <connection id="3" xr16:uid="{A7D02E06-3AFE-3342-A766-DEABFBE06422}" keepAlive="1" name="Query - Max_Minutes_Calculated" description="Connection to the 'Max_Minutes_Calculated' query in the workbook." type="5" refreshedVersion="0" background="1">
    <dbPr connection="Provider=Microsoft.Mashup.OleDb.1;Data Source=$Workbook$;Location=Max_Minutes_Calculated;Extended Properties=&quot;&quot;" command="SELECT * FROM [Max_Minutes_Calculated]"/>
  </connection>
  <connection id="4" xr16:uid="{D5DA0395-B65E-6B46-8E09-99D3AF9AB0AA}" keepAlive="1" name="Query - Vela_combined_all_matches" description="Connection to the 'Vela_combined_all_matches' query in the workbook." type="5" refreshedVersion="8" background="1" saveData="1">
    <dbPr connection="Provider=Microsoft.Mashup.OleDb.1;Data Source=$Workbook$;Location=Vela_combined_all_matches;Extended Properties=&quot;&quot;" command="SELECT * FROM [Vela_combined_all_matches]"/>
  </connection>
</connections>
</file>

<file path=xl/sharedStrings.xml><?xml version="1.0" encoding="utf-8"?>
<sst xmlns="http://schemas.openxmlformats.org/spreadsheetml/2006/main" count="3426" uniqueCount="302">
  <si>
    <t>Composite_Key</t>
  </si>
  <si>
    <t>Matchday</t>
  </si>
  <si>
    <t>Date</t>
  </si>
  <si>
    <t>Comp</t>
  </si>
  <si>
    <t>Season</t>
  </si>
  <si>
    <t>Round</t>
  </si>
  <si>
    <t>Opponent</t>
  </si>
  <si>
    <t>Venue</t>
  </si>
  <si>
    <t>Result</t>
  </si>
  <si>
    <t>GF</t>
  </si>
  <si>
    <t>GA</t>
  </si>
  <si>
    <t>GD</t>
  </si>
  <si>
    <t>xG</t>
  </si>
  <si>
    <t>xGA</t>
  </si>
  <si>
    <t>xGD</t>
  </si>
  <si>
    <t>1-2018</t>
  </si>
  <si>
    <t>MLS</t>
  </si>
  <si>
    <t>Regular Season</t>
  </si>
  <si>
    <t>Seattle Sounders</t>
  </si>
  <si>
    <t>Away</t>
  </si>
  <si>
    <t>W</t>
  </si>
  <si>
    <t>2-2018</t>
  </si>
  <si>
    <t>Real Salt Lake</t>
  </si>
  <si>
    <t>3-2018</t>
  </si>
  <si>
    <t>LA Galaxy</t>
  </si>
  <si>
    <t>L</t>
  </si>
  <si>
    <t>4-2018</t>
  </si>
  <si>
    <t>Atlanta Utd</t>
  </si>
  <si>
    <t>5-2018</t>
  </si>
  <si>
    <t>Vancouver W'caps</t>
  </si>
  <si>
    <t>6-2018</t>
  </si>
  <si>
    <t>Montreal Impact</t>
  </si>
  <si>
    <t>7-2018</t>
  </si>
  <si>
    <t>Home</t>
  </si>
  <si>
    <t>8-2018</t>
  </si>
  <si>
    <t>FC Dallas</t>
  </si>
  <si>
    <t>D</t>
  </si>
  <si>
    <t>9-2018</t>
  </si>
  <si>
    <t>Minnesota Utd</t>
  </si>
  <si>
    <t>10-2018</t>
  </si>
  <si>
    <t>NYCFC</t>
  </si>
  <si>
    <t>11-2018</t>
  </si>
  <si>
    <t>Portland Timbers</t>
  </si>
  <si>
    <t>12-2018</t>
  </si>
  <si>
    <t>D.C. United</t>
  </si>
  <si>
    <t>13-2018</t>
  </si>
  <si>
    <t>14-2018</t>
  </si>
  <si>
    <t>SJ Earthquakes</t>
  </si>
  <si>
    <t>15-2018</t>
  </si>
  <si>
    <t>Columbus Crew</t>
  </si>
  <si>
    <t>16-2018</t>
  </si>
  <si>
    <t>Philadelphia Union</t>
  </si>
  <si>
    <t>17-2018</t>
  </si>
  <si>
    <t>Houston Dynamo</t>
  </si>
  <si>
    <t>18-2018</t>
  </si>
  <si>
    <t>Orlando City</t>
  </si>
  <si>
    <t>19-2018</t>
  </si>
  <si>
    <t>20-2018</t>
  </si>
  <si>
    <t>21-2018</t>
  </si>
  <si>
    <t>22-2018</t>
  </si>
  <si>
    <t>NY Red Bulls</t>
  </si>
  <si>
    <t>23-2018</t>
  </si>
  <si>
    <t>Sporting KC</t>
  </si>
  <si>
    <t>24-2018</t>
  </si>
  <si>
    <t>25-2018</t>
  </si>
  <si>
    <t>Colorado Rapids</t>
  </si>
  <si>
    <t>26-2018</t>
  </si>
  <si>
    <t>27-2018</t>
  </si>
  <si>
    <t>Toronto FC</t>
  </si>
  <si>
    <t>28-2018</t>
  </si>
  <si>
    <t>NE Revolution</t>
  </si>
  <si>
    <t>29-2018</t>
  </si>
  <si>
    <t>30-2018</t>
  </si>
  <si>
    <t>Chicago Fire</t>
  </si>
  <si>
    <t>31-2018</t>
  </si>
  <si>
    <t>32-2018</t>
  </si>
  <si>
    <t>33-2018</t>
  </si>
  <si>
    <t>34-2018</t>
  </si>
  <si>
    <t>35-2018</t>
  </si>
  <si>
    <t>Knockout round</t>
  </si>
  <si>
    <t>1-2019</t>
  </si>
  <si>
    <t>2-2019</t>
  </si>
  <si>
    <t>3-2019</t>
  </si>
  <si>
    <t>4-2019</t>
  </si>
  <si>
    <t>5-2019</t>
  </si>
  <si>
    <t>6-2019</t>
  </si>
  <si>
    <t>7-2019</t>
  </si>
  <si>
    <t>FC Cincinnati</t>
  </si>
  <si>
    <t>8-2019</t>
  </si>
  <si>
    <t>9-2019</t>
  </si>
  <si>
    <t>10-2019</t>
  </si>
  <si>
    <t>11-2019</t>
  </si>
  <si>
    <t>12-2019</t>
  </si>
  <si>
    <t>13-2019</t>
  </si>
  <si>
    <t>14-2019</t>
  </si>
  <si>
    <t>15-2019</t>
  </si>
  <si>
    <t>16-2019</t>
  </si>
  <si>
    <t>17-2019</t>
  </si>
  <si>
    <t>18-2019</t>
  </si>
  <si>
    <t>19-2019</t>
  </si>
  <si>
    <t>20-2019</t>
  </si>
  <si>
    <t>21-2019</t>
  </si>
  <si>
    <t>22-2019</t>
  </si>
  <si>
    <t>23-2019</t>
  </si>
  <si>
    <t>24-2019</t>
  </si>
  <si>
    <t>25-2019</t>
  </si>
  <si>
    <t>26-2019</t>
  </si>
  <si>
    <t>27-2019</t>
  </si>
  <si>
    <t>28-2019</t>
  </si>
  <si>
    <t>29-2019</t>
  </si>
  <si>
    <t>30-2019</t>
  </si>
  <si>
    <t>31-2019</t>
  </si>
  <si>
    <t>32-2019</t>
  </si>
  <si>
    <t>33-2019</t>
  </si>
  <si>
    <t>34-2019</t>
  </si>
  <si>
    <t>35-2019</t>
  </si>
  <si>
    <t>Conference Semifinals</t>
  </si>
  <si>
    <t>36-2019</t>
  </si>
  <si>
    <t>Conference Finals</t>
  </si>
  <si>
    <t>1-2020</t>
  </si>
  <si>
    <t>Inter Miami</t>
  </si>
  <si>
    <t>2-2020</t>
  </si>
  <si>
    <t>3-2020</t>
  </si>
  <si>
    <t>MLS is Back Tournament — Group Stage</t>
  </si>
  <si>
    <t>4-2020</t>
  </si>
  <si>
    <t>5-2020</t>
  </si>
  <si>
    <t>6-2020</t>
  </si>
  <si>
    <t>7-2020</t>
  </si>
  <si>
    <t>8-2020</t>
  </si>
  <si>
    <t>9-2020</t>
  </si>
  <si>
    <t>10-2020</t>
  </si>
  <si>
    <t>11-2020</t>
  </si>
  <si>
    <t>12-2020</t>
  </si>
  <si>
    <t>13-2020</t>
  </si>
  <si>
    <t>14-2020</t>
  </si>
  <si>
    <t>15-2020</t>
  </si>
  <si>
    <t>16-2020</t>
  </si>
  <si>
    <t>17-2020</t>
  </si>
  <si>
    <t>18-2020</t>
  </si>
  <si>
    <t>19-2020</t>
  </si>
  <si>
    <t>20-2020</t>
  </si>
  <si>
    <t>21-2020</t>
  </si>
  <si>
    <t>22-2020</t>
  </si>
  <si>
    <t>23-2020</t>
  </si>
  <si>
    <t>First Round</t>
  </si>
  <si>
    <t>1-2021</t>
  </si>
  <si>
    <t>Austin</t>
  </si>
  <si>
    <t>2-2021</t>
  </si>
  <si>
    <t>3-2021</t>
  </si>
  <si>
    <t>4-2021</t>
  </si>
  <si>
    <t>5-2021</t>
  </si>
  <si>
    <t>6-2021</t>
  </si>
  <si>
    <t>7-2021</t>
  </si>
  <si>
    <t>8-2021</t>
  </si>
  <si>
    <t>9-2021</t>
  </si>
  <si>
    <t>10-2021</t>
  </si>
  <si>
    <t>11-2021</t>
  </si>
  <si>
    <t>12-2021</t>
  </si>
  <si>
    <t>13-2021</t>
  </si>
  <si>
    <t>14-2021</t>
  </si>
  <si>
    <t>15-2021</t>
  </si>
  <si>
    <t>16-2021</t>
  </si>
  <si>
    <t>17-2021</t>
  </si>
  <si>
    <t>18-2021</t>
  </si>
  <si>
    <t>19-2021</t>
  </si>
  <si>
    <t>20-2021</t>
  </si>
  <si>
    <t>21-2021</t>
  </si>
  <si>
    <t>22-2021</t>
  </si>
  <si>
    <t>23-2021</t>
  </si>
  <si>
    <t>24-2021</t>
  </si>
  <si>
    <t>25-2021</t>
  </si>
  <si>
    <t>26-2021</t>
  </si>
  <si>
    <t>27-2021</t>
  </si>
  <si>
    <t>28-2021</t>
  </si>
  <si>
    <t>29-2021</t>
  </si>
  <si>
    <t>30-2021</t>
  </si>
  <si>
    <t>31-2021</t>
  </si>
  <si>
    <t>32-2021</t>
  </si>
  <si>
    <t>33-2021</t>
  </si>
  <si>
    <t>34-2021</t>
  </si>
  <si>
    <t>1-2022</t>
  </si>
  <si>
    <t>2-2022</t>
  </si>
  <si>
    <t>3-2022</t>
  </si>
  <si>
    <t>4-2022</t>
  </si>
  <si>
    <t>5-2022</t>
  </si>
  <si>
    <t>6-2022</t>
  </si>
  <si>
    <t>7-2022</t>
  </si>
  <si>
    <t>8-2022</t>
  </si>
  <si>
    <t>9-2022</t>
  </si>
  <si>
    <t>10-2022</t>
  </si>
  <si>
    <t>11-2022</t>
  </si>
  <si>
    <t>12-2022</t>
  </si>
  <si>
    <t>13-2022</t>
  </si>
  <si>
    <t>14-2022</t>
  </si>
  <si>
    <t>15-2022</t>
  </si>
  <si>
    <t>16-2022</t>
  </si>
  <si>
    <t>17-2022</t>
  </si>
  <si>
    <t>18-2022</t>
  </si>
  <si>
    <t>19-2022</t>
  </si>
  <si>
    <t>20-2022</t>
  </si>
  <si>
    <t>Nashville SC</t>
  </si>
  <si>
    <t>21-2022</t>
  </si>
  <si>
    <t>22-2022</t>
  </si>
  <si>
    <t>23-2022</t>
  </si>
  <si>
    <t>24-2022</t>
  </si>
  <si>
    <t>Charlotte</t>
  </si>
  <si>
    <t>25-2022</t>
  </si>
  <si>
    <t>26-2022</t>
  </si>
  <si>
    <t>27-2022</t>
  </si>
  <si>
    <t>28-2022</t>
  </si>
  <si>
    <t>29-2022</t>
  </si>
  <si>
    <t>30-2022</t>
  </si>
  <si>
    <t>31-2022</t>
  </si>
  <si>
    <t>32-2022</t>
  </si>
  <si>
    <t>33-2022</t>
  </si>
  <si>
    <t>34-2022</t>
  </si>
  <si>
    <t>35-2022</t>
  </si>
  <si>
    <t>36-2022</t>
  </si>
  <si>
    <t>37-2022</t>
  </si>
  <si>
    <t>MLS Cup</t>
  </si>
  <si>
    <t>1-2023</t>
  </si>
  <si>
    <t>2-2023</t>
  </si>
  <si>
    <t>3-2023</t>
  </si>
  <si>
    <t>4-2023</t>
  </si>
  <si>
    <t>5-2023</t>
  </si>
  <si>
    <t>6-2023</t>
  </si>
  <si>
    <t>7-2023</t>
  </si>
  <si>
    <t>8-2023</t>
  </si>
  <si>
    <t>9-2023</t>
  </si>
  <si>
    <t>10-2023</t>
  </si>
  <si>
    <t>11-2023</t>
  </si>
  <si>
    <t>12-2023</t>
  </si>
  <si>
    <t>13-2023</t>
  </si>
  <si>
    <t>14-2023</t>
  </si>
  <si>
    <t>15-2023</t>
  </si>
  <si>
    <t>16-2023</t>
  </si>
  <si>
    <t>17-2023</t>
  </si>
  <si>
    <t>18-2023</t>
  </si>
  <si>
    <t>19-2023</t>
  </si>
  <si>
    <t>20-2023</t>
  </si>
  <si>
    <t>21-2023</t>
  </si>
  <si>
    <t>22-2023</t>
  </si>
  <si>
    <t>St. Louis</t>
  </si>
  <si>
    <t>23-2023</t>
  </si>
  <si>
    <t>24-2023</t>
  </si>
  <si>
    <t>25-2023</t>
  </si>
  <si>
    <t>26-2023</t>
  </si>
  <si>
    <t>27-2023</t>
  </si>
  <si>
    <t>28-2023</t>
  </si>
  <si>
    <t>29-2023</t>
  </si>
  <si>
    <t>30-2023</t>
  </si>
  <si>
    <t>31-2023</t>
  </si>
  <si>
    <t>32-2023</t>
  </si>
  <si>
    <t>33-2023</t>
  </si>
  <si>
    <t>34-2023</t>
  </si>
  <si>
    <t>35-2023</t>
  </si>
  <si>
    <t>Round One</t>
  </si>
  <si>
    <t>36-2023</t>
  </si>
  <si>
    <t>37-2023</t>
  </si>
  <si>
    <t>38-2023</t>
  </si>
  <si>
    <t>39-2023</t>
  </si>
  <si>
    <t>Vela_Minutes_Played</t>
  </si>
  <si>
    <t>Did_Vela_Play</t>
  </si>
  <si>
    <t>Row Labels</t>
  </si>
  <si>
    <t>Grand Total</t>
  </si>
  <si>
    <t>Column Labels</t>
  </si>
  <si>
    <t>Count of Result</t>
  </si>
  <si>
    <t>Average of GF</t>
  </si>
  <si>
    <t>Average of xG</t>
  </si>
  <si>
    <t>Average of xGA</t>
  </si>
  <si>
    <t>Values</t>
  </si>
  <si>
    <t>Average of GA</t>
  </si>
  <si>
    <t>Average of GD</t>
  </si>
  <si>
    <t>Average of xGD</t>
  </si>
  <si>
    <t>Vela_Minutes_Impact</t>
  </si>
  <si>
    <t>High</t>
  </si>
  <si>
    <t>Low</t>
  </si>
  <si>
    <t>Medium</t>
  </si>
  <si>
    <t>Did_LAFC_Win</t>
  </si>
  <si>
    <t>Sum of xGA</t>
  </si>
  <si>
    <t>Count of Did_Vela_Play</t>
  </si>
  <si>
    <t>Sum of GA</t>
  </si>
  <si>
    <t>r</t>
  </si>
  <si>
    <t>2021 HERE</t>
  </si>
  <si>
    <t>2019 HERE</t>
  </si>
  <si>
    <t>2023 HERE</t>
  </si>
  <si>
    <t>Display_Year</t>
  </si>
  <si>
    <t>Zero_Line_Helper</t>
  </si>
  <si>
    <t>Average of Zero_Line_Helper</t>
  </si>
  <si>
    <t>Max_Minutes</t>
  </si>
  <si>
    <t>xGD - GD</t>
  </si>
  <si>
    <t>Sum of Zero_Line_Helper</t>
  </si>
  <si>
    <t>'18</t>
  </si>
  <si>
    <t>'19</t>
  </si>
  <si>
    <t>'20</t>
  </si>
  <si>
    <t>'21</t>
  </si>
  <si>
    <t>'22</t>
  </si>
  <si>
    <t>'23</t>
  </si>
  <si>
    <t>Average of GF - xGF</t>
  </si>
  <si>
    <t>Average of GA - xGA</t>
  </si>
  <si>
    <t>GF - xGF</t>
  </si>
  <si>
    <t>GA - xGA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</si>
</sst>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8"/>
      <name val="Aptos Narrow"/>
      <family val="2"/>
      <scheme val="minor"/>
    </font>
    <font>
      <b/>
      <sz val="12"/>
      <color theme="1"/>
      <name val="Aptos Narrow"/>
      <family val="2"/>
      <scheme val="minor"/>
    </font>
    <font>
      <i/>
      <sz val="12"/>
      <color theme="1"/>
      <name val="Aptos Narrow"/>
      <family val="2"/>
      <scheme val="minor"/>
    </font>
    <font>
      <sz val="48"/>
      <color theme="1"/>
      <name val="Aptos Narrow (Body)"/>
    </font>
    <font>
      <sz val="48"/>
      <color theme="1"/>
      <name val="Aptos Narrow"/>
      <family val="2"/>
      <scheme val="minor"/>
    </font>
  </fonts>
  <fills count="3">
    <fill>
      <patternFill patternType="none"/>
    </fill>
    <fill>
      <patternFill patternType="gray125"/>
    </fill>
    <fill>
      <patternFill patternType="solid">
        <fgColor theme="6" tint="0.59999389629810485"/>
        <bgColor indexed="64"/>
      </patternFill>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0" borderId="0" xfId="0" applyAlignment="1">
      <alignment horizontal="left" indent="1"/>
    </xf>
    <xf numFmtId="9" fontId="0" fillId="0" borderId="0" xfId="0" applyNumberFormat="1"/>
    <xf numFmtId="9" fontId="2" fillId="2" borderId="0" xfId="0" applyNumberFormat="1" applyFont="1" applyFill="1"/>
    <xf numFmtId="0" fontId="2" fillId="2" borderId="0" xfId="0" applyFont="1" applyFill="1" applyAlignment="1">
      <alignment horizontal="left" indent="1"/>
    </xf>
    <xf numFmtId="0" fontId="3" fillId="0" borderId="0" xfId="0" applyFont="1" applyAlignment="1">
      <alignment horizontal="left" indent="1"/>
    </xf>
    <xf numFmtId="0" fontId="4" fillId="0" borderId="0" xfId="0" applyFont="1"/>
    <xf numFmtId="0" fontId="5" fillId="0" borderId="0" xfId="0" applyFont="1"/>
  </cellXfs>
  <cellStyles count="1">
    <cellStyle name="Normal" xfId="0" builtinId="0"/>
  </cellStyles>
  <dxfs count="31">
    <dxf>
      <font>
        <color rgb="FF006100"/>
      </font>
      <fill>
        <patternFill>
          <bgColor rgb="FFC6EFCE"/>
        </patternFill>
      </fill>
    </dxf>
    <dxf>
      <font>
        <color auto="1"/>
      </font>
      <fill>
        <patternFill>
          <bgColor rgb="FFF5FF0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2" tint="-9.9948118533890809E-2"/>
        </patternFill>
      </fill>
    </dxf>
    <dxf>
      <font>
        <i/>
      </font>
    </dxf>
    <dxf>
      <fill>
        <patternFill>
          <bgColor theme="6" tint="0.59999389629810485"/>
        </patternFill>
      </fill>
    </dxf>
    <dxf>
      <fill>
        <patternFill patternType="solid">
          <bgColor theme="6" tint="0.59999389629810485"/>
        </patternFill>
      </fill>
    </dxf>
    <dxf>
      <fill>
        <patternFill patternType="solid">
          <bgColor theme="6" tint="0.59999389629810485"/>
        </patternFill>
      </fill>
    </dxf>
    <dxf>
      <fill>
        <patternFill>
          <bgColor theme="6" tint="0.59999389629810485"/>
        </patternFill>
      </fill>
    </dxf>
    <dxf>
      <fill>
        <patternFill patternType="solid">
          <bgColor theme="9" tint="0.39997558519241921"/>
        </patternFill>
      </fill>
    </dxf>
    <dxf>
      <font>
        <b/>
      </font>
    </dxf>
    <dxf>
      <font>
        <b/>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
    </dxf>
    <dxf>
      <numFmt numFmtId="0" formatCode="General"/>
    </dxf>
  </dxfs>
  <tableStyles count="0" defaultTableStyle="TableStyleMedium2" defaultPivotStyle="PivotStyleLight16"/>
  <colors>
    <mruColors>
      <color rgb="FFFAFAFA"/>
      <color rgb="FFC39E6D"/>
      <color rgb="FFFF0000"/>
      <color rgb="FF9FB7D9"/>
      <color rgb="FFDB0608"/>
      <color rgb="FFF5FF00"/>
      <color rgb="FFFFF900"/>
      <color rgb="FFE5D740"/>
      <color rgb="FFEDED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[fbref_LAFC_combined_Analysis.xlsx]Final_Visualization_PivotTables!VelaGD-xGD2021</c:name>
    <c:fmtId val="0"/>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r>
              <a:rPr lang="en-US" sz="1200" b="0" i="0">
                <a:latin typeface="Inter Variable Text" panose="02000503000000020004" pitchFamily="2" charset="0"/>
                <a:ea typeface="Inter Variable Text" panose="02000503000000020004" pitchFamily="2" charset="0"/>
                <a:cs typeface="Inter Variable Text" panose="02000503000000020004" pitchFamily="2" charset="0"/>
              </a:rPr>
              <a:t>LAFC's 2021 </a:t>
            </a:r>
            <a:r>
              <a:rPr lang="en-US" sz="1200" b="0" i="0">
                <a:solidFill>
                  <a:schemeClr val="tx1">
                    <a:lumMod val="85000"/>
                    <a:lumOff val="15000"/>
                  </a:schemeClr>
                </a:solidFill>
                <a:latin typeface="Inter Variable Text" panose="02000503000000020004" pitchFamily="2" charset="0"/>
                <a:ea typeface="Inter Variable Text" panose="02000503000000020004" pitchFamily="2" charset="0"/>
                <a:cs typeface="Inter Variable Text" panose="02000503000000020004" pitchFamily="2" charset="0"/>
              </a:rPr>
              <a:t>Nightmare</a:t>
            </a:r>
            <a:r>
              <a:rPr lang="en-US" sz="1200" b="0" i="0">
                <a:latin typeface="Inter Variable Text" panose="02000503000000020004" pitchFamily="2" charset="0"/>
                <a:ea typeface="Inter Variable Text" panose="02000503000000020004" pitchFamily="2" charset="0"/>
                <a:cs typeface="Inter Variable Text" panose="02000503000000020004" pitchFamily="2" charset="0"/>
              </a:rPr>
              <a:t>*</a:t>
            </a:r>
          </a:p>
        </c:rich>
      </c:tx>
      <c:layout>
        <c:manualLayout>
          <c:xMode val="edge"/>
          <c:yMode val="edge"/>
          <c:x val="2.4567494952385496E-2"/>
          <c:y val="1.138195359963032E-2"/>
        </c:manualLayout>
      </c:layout>
      <c:overlay val="1"/>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endParaRPr lang="en-US"/>
        </a:p>
      </c:txPr>
    </c:title>
    <c:autoTitleDeleted val="0"/>
    <c:pivotFmts>
      <c:pivotFmt>
        <c:idx val="0"/>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w="28575" cap="rnd">
            <a:solidFill>
              <a:schemeClr val="dk1">
                <a:tint val="88500"/>
              </a:schemeClr>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flat">
            <a:solidFill>
              <a:srgbClr val="C39E6D">
                <a:alpha val="90000"/>
              </a:srgbClr>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1">
                <a:lumMod val="85000"/>
                <a:lumOff val="1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 cap="rnd">
            <a:solidFill>
              <a:schemeClr val="bg2">
                <a:lumMod val="75000"/>
              </a:scheme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dk1">
              <a:tint val="88500"/>
            </a:schemeClr>
          </a:solidFill>
          <a:ln w="28575" cap="rnd">
            <a:solidFill>
              <a:schemeClr val="tx1">
                <a:lumMod val="85000"/>
                <a:lumOff val="15000"/>
              </a:schemeClr>
            </a:solidFill>
            <a:round/>
          </a:ln>
          <a:effectLst>
            <a:glow>
              <a:schemeClr val="accent1">
                <a:alpha val="40000"/>
              </a:schemeClr>
            </a:glow>
            <a:outerShdw blurRad="50800" dist="50800" dir="5400000" sx="1000" sy="1000" algn="ctr" rotWithShape="0">
              <a:srgbClr val="000000">
                <a:alpha val="43137"/>
              </a:srgbClr>
            </a:outerShdw>
          </a:effectLst>
        </c:spPr>
        <c:marker>
          <c:symbol val="none"/>
        </c:marker>
        <c:dLbl>
          <c:idx val="0"/>
          <c:layout>
            <c:manualLayout>
              <c:x val="-9.3215648016481585E-3"/>
              <c:y val="-4.7528600078285558E-3"/>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a:t>GD</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dk1">
              <a:tint val="88500"/>
            </a:schemeClr>
          </a:solidFill>
          <a:ln w="28575" cap="rnd">
            <a:solidFill>
              <a:schemeClr val="tx1">
                <a:lumMod val="85000"/>
                <a:lumOff val="15000"/>
              </a:schemeClr>
            </a:solidFill>
            <a:round/>
          </a:ln>
          <a:effectLst/>
        </c:spPr>
        <c:marker>
          <c:symbol val="none"/>
        </c:marker>
      </c:pivotFmt>
      <c:pivotFmt>
        <c:idx val="9"/>
        <c:spPr>
          <a:solidFill>
            <a:schemeClr val="dk1">
              <a:tint val="88500"/>
            </a:schemeClr>
          </a:solidFill>
          <a:ln w="28575" cap="rnd">
            <a:solidFill>
              <a:schemeClr val="tx1">
                <a:lumMod val="85000"/>
                <a:lumOff val="15000"/>
              </a:schemeClr>
            </a:solidFill>
            <a:round/>
          </a:ln>
          <a:effectLst/>
        </c:spPr>
        <c:marker>
          <c:symbol val="none"/>
        </c:marker>
      </c:pivotFmt>
      <c:pivotFmt>
        <c:idx val="10"/>
        <c:spPr>
          <a:solidFill>
            <a:schemeClr val="dk1">
              <a:tint val="88500"/>
            </a:schemeClr>
          </a:solidFill>
          <a:ln w="28575" cap="rnd">
            <a:solidFill>
              <a:schemeClr val="tx1">
                <a:lumMod val="85000"/>
                <a:lumOff val="15000"/>
              </a:schemeClr>
            </a:solidFill>
            <a:round/>
          </a:ln>
          <a:effectLst/>
        </c:spPr>
        <c:marker>
          <c:symbol val="none"/>
        </c:marker>
      </c:pivotFmt>
      <c:pivotFmt>
        <c:idx val="11"/>
        <c:spPr>
          <a:solidFill>
            <a:schemeClr val="dk1">
              <a:tint val="88500"/>
            </a:schemeClr>
          </a:solidFill>
          <a:ln w="28575" cap="rnd">
            <a:solidFill>
              <a:schemeClr val="tx1">
                <a:lumMod val="85000"/>
                <a:lumOff val="15000"/>
              </a:schemeClr>
            </a:solidFill>
            <a:round/>
          </a:ln>
          <a:effectLst/>
        </c:spPr>
        <c:marker>
          <c:symbol val="none"/>
        </c:marker>
      </c:pivotFmt>
      <c:pivotFmt>
        <c:idx val="12"/>
        <c:spPr>
          <a:solidFill>
            <a:schemeClr val="dk1">
              <a:tint val="88500"/>
            </a:schemeClr>
          </a:solidFill>
          <a:ln w="28575" cap="rnd">
            <a:solidFill>
              <a:schemeClr val="tx1">
                <a:lumMod val="85000"/>
                <a:lumOff val="15000"/>
              </a:schemeClr>
            </a:solidFill>
            <a:round/>
          </a:ln>
          <a:effectLst/>
        </c:spPr>
        <c:marker>
          <c:symbol val="circle"/>
          <c:size val="5"/>
          <c:spPr>
            <a:solidFill>
              <a:schemeClr val="tx1">
                <a:lumMod val="85000"/>
                <a:lumOff val="15000"/>
              </a:schemeClr>
            </a:solidFill>
            <a:ln w="9525" cap="flat">
              <a:noFill/>
            </a:ln>
            <a:effectLst/>
          </c:spPr>
        </c:marker>
      </c:pivotFmt>
      <c:pivotFmt>
        <c:idx val="13"/>
        <c:spPr>
          <a:solidFill>
            <a:schemeClr val="dk1">
              <a:tint val="88500"/>
            </a:schemeClr>
          </a:solidFill>
          <a:ln w="22225" cap="flat">
            <a:solidFill>
              <a:srgbClr val="C39E6D">
                <a:alpha val="90000"/>
              </a:srgbClr>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dk1">
              <a:tint val="88500"/>
            </a:schemeClr>
          </a:solidFill>
          <a:ln w="22225" cap="flat">
            <a:solidFill>
              <a:srgbClr val="C39E6D">
                <a:alpha val="90000"/>
              </a:srgbClr>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dk1">
              <a:tint val="88500"/>
            </a:schemeClr>
          </a:solidFill>
          <a:ln w="22225" cap="flat">
            <a:solidFill>
              <a:srgbClr val="C39E6D">
                <a:alpha val="90000"/>
              </a:srgbClr>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dk1">
              <a:tint val="88500"/>
            </a:schemeClr>
          </a:solidFill>
          <a:ln w="22225" cap="flat">
            <a:solidFill>
              <a:srgbClr val="C39E6D">
                <a:alpha val="90000"/>
              </a:srgbClr>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dk1">
              <a:tint val="88500"/>
            </a:schemeClr>
          </a:solidFill>
          <a:ln w="22225" cap="flat">
            <a:solidFill>
              <a:srgbClr val="C39E6D">
                <a:alpha val="90000"/>
              </a:srgbClr>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dk1">
              <a:tint val="88500"/>
            </a:schemeClr>
          </a:solidFill>
          <a:ln w="22225" cap="flat">
            <a:solidFill>
              <a:srgbClr val="C39E6D">
                <a:alpha val="90000"/>
              </a:srgbClr>
            </a:solidFill>
            <a:prstDash val="sysDot"/>
            <a:round/>
          </a:ln>
          <a:effectLst/>
        </c:spPr>
        <c:marker>
          <c:symbol val="none"/>
        </c:marker>
        <c:dLbl>
          <c:idx val="0"/>
          <c:layout>
            <c:manualLayout>
              <c:x val="-1.7104394726866343E-2"/>
              <c:y val="1.6704835912526965E-2"/>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sz="800" b="0" i="0">
                    <a:latin typeface="Inter Variable Text Light" panose="02000503000000020004" pitchFamily="2" charset="0"/>
                    <a:ea typeface="Inter Variable Text Light" panose="02000503000000020004" pitchFamily="2" charset="0"/>
                    <a:cs typeface="Inter Variable Text Light" panose="02000503000000020004" pitchFamily="2" charset="0"/>
                  </a:rPr>
                  <a:t>xGD</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9600587443093857E-2"/>
                  <c:h val="5.4060005948628288E-2"/>
                </c:manualLayout>
              </c15:layout>
              <c15:showDataLabelsRange val="0"/>
            </c:ext>
          </c:extLst>
        </c:dLbl>
      </c:pivotFmt>
      <c:pivotFmt>
        <c:idx val="19"/>
        <c:spPr>
          <a:ln w="22225" cap="flat">
            <a:solidFill>
              <a:srgbClr val="C39E6D">
                <a:alpha val="90000"/>
              </a:srgbClr>
            </a:solidFill>
            <a:prstDash val="sysDot"/>
            <a:round/>
          </a:ln>
          <a:effectLst/>
        </c:spPr>
        <c:marker>
          <c:symbol val="none"/>
        </c:marker>
      </c:pivotFmt>
      <c:pivotFmt>
        <c:idx val="20"/>
        <c:spPr>
          <a:ln w="22225" cap="flat">
            <a:solidFill>
              <a:srgbClr val="C39E6D">
                <a:alpha val="90000"/>
              </a:srgbClr>
            </a:solidFill>
            <a:prstDash val="sysDot"/>
            <a:round/>
          </a:ln>
          <a:effectLst/>
        </c:spPr>
        <c:marker>
          <c:symbol val="none"/>
        </c:marker>
      </c:pivotFmt>
      <c:pivotFmt>
        <c:idx val="21"/>
        <c:spPr>
          <a:ln w="22225" cap="flat">
            <a:solidFill>
              <a:srgbClr val="C39E6D">
                <a:alpha val="90000"/>
              </a:srgbClr>
            </a:solidFill>
            <a:prstDash val="sysDot"/>
            <a:round/>
          </a:ln>
          <a:effectLst/>
        </c:spPr>
        <c:marker>
          <c:symbol val="none"/>
        </c:marker>
      </c:pivotFmt>
      <c:pivotFmt>
        <c:idx val="22"/>
        <c:spPr>
          <a:ln w="22225" cap="flat">
            <a:solidFill>
              <a:srgbClr val="C39E6D">
                <a:alpha val="90000"/>
              </a:srgbClr>
            </a:solidFill>
            <a:prstDash val="sysDot"/>
            <a:round/>
          </a:ln>
          <a:effectLst/>
        </c:spPr>
        <c:marker>
          <c:symbol val="none"/>
        </c:marker>
      </c:pivotFmt>
      <c:pivotFmt>
        <c:idx val="23"/>
        <c:spPr>
          <a:ln w="22225" cap="flat">
            <a:solidFill>
              <a:srgbClr val="C39E6D">
                <a:alpha val="90000"/>
              </a:srgbClr>
            </a:solidFill>
            <a:prstDash val="sysDot"/>
            <a:round/>
          </a:ln>
          <a:effectLst/>
        </c:spPr>
        <c:marker>
          <c:symbol val="none"/>
        </c:marker>
      </c:pivotFmt>
      <c:pivotFmt>
        <c:idx val="24"/>
        <c:spPr>
          <a:ln w="22225" cap="flat">
            <a:solidFill>
              <a:srgbClr val="C39E6D">
                <a:alpha val="90000"/>
              </a:srgbClr>
            </a:solidFill>
            <a:prstDash val="sysDot"/>
            <a:round/>
          </a:ln>
          <a:effectLst/>
        </c:spPr>
        <c:marker>
          <c:symbol val="none"/>
        </c:marker>
        <c:dLbl>
          <c:idx val="0"/>
          <c:layout>
            <c:manualLayout>
              <c:x val="-2.167681488900567E-2"/>
              <c:y val="2.1609334438751161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xGD</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5"/>
        <c:spPr>
          <a:ln w="28575" cap="rnd">
            <a:solidFill>
              <a:schemeClr val="tx1">
                <a:lumMod val="85000"/>
                <a:lumOff val="15000"/>
              </a:schemeClr>
            </a:solidFill>
            <a:round/>
          </a:ln>
          <a:effectLst/>
        </c:spPr>
        <c:marker>
          <c:symbol val="none"/>
        </c:marker>
        <c:dLbl>
          <c:idx val="0"/>
          <c:layout>
            <c:manualLayout>
              <c:x val="-1.3547993286169248E-2"/>
              <c:y val="4.3263292220714214E-3"/>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a:t>GD</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6"/>
        <c:spPr>
          <a:ln w="28575" cap="rnd">
            <a:solidFill>
              <a:schemeClr val="tx1">
                <a:lumMod val="85000"/>
                <a:lumOff val="15000"/>
              </a:schemeClr>
            </a:solidFill>
            <a:round/>
          </a:ln>
          <a:effectLst/>
        </c:spPr>
        <c:marker>
          <c:symbol val="none"/>
        </c:marker>
      </c:pivotFmt>
      <c:pivotFmt>
        <c:idx val="27"/>
        <c:spPr>
          <a:ln w="28575" cap="rnd">
            <a:solidFill>
              <a:schemeClr val="tx1">
                <a:lumMod val="85000"/>
                <a:lumOff val="15000"/>
              </a:schemeClr>
            </a:solidFill>
            <a:round/>
          </a:ln>
          <a:effectLst/>
        </c:spPr>
        <c:marker>
          <c:symbol val="none"/>
        </c:marker>
      </c:pivotFmt>
      <c:pivotFmt>
        <c:idx val="28"/>
        <c:spPr>
          <a:ln w="28575" cap="rnd">
            <a:solidFill>
              <a:schemeClr val="tx1">
                <a:lumMod val="85000"/>
                <a:lumOff val="15000"/>
              </a:schemeClr>
            </a:solidFill>
            <a:round/>
          </a:ln>
          <a:effectLst/>
        </c:spPr>
        <c:marker>
          <c:symbol val="none"/>
        </c:marker>
      </c:pivotFmt>
      <c:pivotFmt>
        <c:idx val="29"/>
        <c:spPr>
          <a:ln w="28575" cap="rnd">
            <a:solidFill>
              <a:schemeClr val="tx1">
                <a:lumMod val="85000"/>
                <a:lumOff val="15000"/>
              </a:schemeClr>
            </a:solidFill>
            <a:round/>
          </a:ln>
          <a:effectLst/>
        </c:spPr>
        <c:marker>
          <c:symbol val="none"/>
        </c:marker>
      </c:pivotFmt>
      <c:pivotFmt>
        <c:idx val="30"/>
        <c:spPr>
          <a:ln w="28575" cap="rnd">
            <a:solidFill>
              <a:schemeClr val="tx1">
                <a:lumMod val="85000"/>
                <a:lumOff val="15000"/>
              </a:schemeClr>
            </a:solidFill>
            <a:round/>
          </a:ln>
          <a:effectLst/>
        </c:spPr>
        <c:marker>
          <c:symbol val="none"/>
        </c:marker>
      </c:pivotFmt>
    </c:pivotFmts>
    <c:plotArea>
      <c:layout>
        <c:manualLayout>
          <c:layoutTarget val="inner"/>
          <c:xMode val="edge"/>
          <c:yMode val="edge"/>
          <c:x val="0.11216747720462225"/>
          <c:y val="0.13998939886105713"/>
          <c:w val="0.81621405242068457"/>
          <c:h val="0.75490849666097359"/>
        </c:manualLayout>
      </c:layout>
      <c:lineChart>
        <c:grouping val="standard"/>
        <c:varyColors val="0"/>
        <c:ser>
          <c:idx val="0"/>
          <c:order val="0"/>
          <c:tx>
            <c:strRef>
              <c:f>Final_Visualization_PivotTables!$B$6:$B$8</c:f>
              <c:strCache>
                <c:ptCount val="1"/>
                <c:pt idx="0">
                  <c:v>1 - Average of xGD</c:v>
                </c:pt>
              </c:strCache>
            </c:strRef>
          </c:tx>
          <c:spPr>
            <a:ln w="22225" cap="flat">
              <a:solidFill>
                <a:srgbClr val="C39E6D">
                  <a:alpha val="90000"/>
                </a:srgbClr>
              </a:solidFill>
              <a:prstDash val="sysDot"/>
              <a:round/>
            </a:ln>
            <a:effectLst/>
          </c:spPr>
          <c:marker>
            <c:symbol val="none"/>
          </c:marker>
          <c:dPt>
            <c:idx val="0"/>
            <c:marker>
              <c:symbol val="none"/>
            </c:marker>
            <c:bubble3D val="0"/>
            <c:extLst>
              <c:ext xmlns:c16="http://schemas.microsoft.com/office/drawing/2014/chart" uri="{C3380CC4-5D6E-409C-BE32-E72D297353CC}">
                <c16:uniqueId val="{0000000B-C461-7743-9ADF-3F340B7A89AE}"/>
              </c:ext>
            </c:extLst>
          </c:dPt>
          <c:dPt>
            <c:idx val="1"/>
            <c:marker>
              <c:symbol val="none"/>
            </c:marker>
            <c:bubble3D val="0"/>
            <c:extLst>
              <c:ext xmlns:c16="http://schemas.microsoft.com/office/drawing/2014/chart" uri="{C3380CC4-5D6E-409C-BE32-E72D297353CC}">
                <c16:uniqueId val="{0000000C-C461-7743-9ADF-3F340B7A89AE}"/>
              </c:ext>
            </c:extLst>
          </c:dPt>
          <c:dPt>
            <c:idx val="2"/>
            <c:marker>
              <c:symbol val="none"/>
            </c:marker>
            <c:bubble3D val="0"/>
            <c:extLst>
              <c:ext xmlns:c16="http://schemas.microsoft.com/office/drawing/2014/chart" uri="{C3380CC4-5D6E-409C-BE32-E72D297353CC}">
                <c16:uniqueId val="{0000000D-C461-7743-9ADF-3F340B7A89AE}"/>
              </c:ext>
            </c:extLst>
          </c:dPt>
          <c:dPt>
            <c:idx val="3"/>
            <c:marker>
              <c:symbol val="none"/>
            </c:marker>
            <c:bubble3D val="0"/>
            <c:extLst>
              <c:ext xmlns:c16="http://schemas.microsoft.com/office/drawing/2014/chart" uri="{C3380CC4-5D6E-409C-BE32-E72D297353CC}">
                <c16:uniqueId val="{0000000E-C461-7743-9ADF-3F340B7A89AE}"/>
              </c:ext>
            </c:extLst>
          </c:dPt>
          <c:dPt>
            <c:idx val="4"/>
            <c:marker>
              <c:symbol val="none"/>
            </c:marker>
            <c:bubble3D val="0"/>
            <c:extLst>
              <c:ext xmlns:c16="http://schemas.microsoft.com/office/drawing/2014/chart" uri="{C3380CC4-5D6E-409C-BE32-E72D297353CC}">
                <c16:uniqueId val="{0000000F-C461-7743-9ADF-3F340B7A89AE}"/>
              </c:ext>
            </c:extLst>
          </c:dPt>
          <c:dPt>
            <c:idx val="5"/>
            <c:marker>
              <c:symbol val="none"/>
            </c:marker>
            <c:bubble3D val="0"/>
            <c:extLst>
              <c:ext xmlns:c16="http://schemas.microsoft.com/office/drawing/2014/chart" uri="{C3380CC4-5D6E-409C-BE32-E72D297353CC}">
                <c16:uniqueId val="{00000006-C461-7743-9ADF-3F340B7A89AE}"/>
              </c:ext>
            </c:extLst>
          </c:dPt>
          <c:dLbls>
            <c:dLbl>
              <c:idx val="5"/>
              <c:layout>
                <c:manualLayout>
                  <c:x val="-2.167681488900567E-2"/>
                  <c:y val="2.1609334438751161E-2"/>
                </c:manualLayout>
              </c:layout>
              <c:tx>
                <c:rich>
                  <a:bodyPr/>
                  <a:lstStyle/>
                  <a:p>
                    <a:r>
                      <a:rPr lang="en-US"/>
                      <a:t>xGD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C461-7743-9ADF-3F340B7A89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Final_Visualization_PivotTables!$A$9:$A$14</c:f>
              <c:strCache>
                <c:ptCount val="6"/>
                <c:pt idx="0">
                  <c:v>'18</c:v>
                </c:pt>
                <c:pt idx="1">
                  <c:v>'19</c:v>
                </c:pt>
                <c:pt idx="2">
                  <c:v>'20</c:v>
                </c:pt>
                <c:pt idx="3">
                  <c:v>'21</c:v>
                </c:pt>
                <c:pt idx="4">
                  <c:v>'22</c:v>
                </c:pt>
                <c:pt idx="5">
                  <c:v>'23</c:v>
                </c:pt>
              </c:strCache>
            </c:strRef>
          </c:cat>
          <c:val>
            <c:numRef>
              <c:f>Final_Visualization_PivotTables!$B$9:$B$14</c:f>
              <c:numCache>
                <c:formatCode>0.00</c:formatCode>
                <c:ptCount val="6"/>
                <c:pt idx="0">
                  <c:v>0.49655172413793097</c:v>
                </c:pt>
                <c:pt idx="1">
                  <c:v>1.2363636363636368</c:v>
                </c:pt>
                <c:pt idx="2">
                  <c:v>0.8999999999999998</c:v>
                </c:pt>
                <c:pt idx="3">
                  <c:v>0.82499999999999996</c:v>
                </c:pt>
                <c:pt idx="4">
                  <c:v>0.89428571428571435</c:v>
                </c:pt>
                <c:pt idx="5">
                  <c:v>0.45897435897435912</c:v>
                </c:pt>
              </c:numCache>
            </c:numRef>
          </c:val>
          <c:smooth val="0"/>
          <c:extLst>
            <c:ext xmlns:c16="http://schemas.microsoft.com/office/drawing/2014/chart" uri="{C3380CC4-5D6E-409C-BE32-E72D297353CC}">
              <c16:uniqueId val="{00000000-861A-2846-BF7F-21EFE03DFA13}"/>
            </c:ext>
          </c:extLst>
        </c:ser>
        <c:ser>
          <c:idx val="1"/>
          <c:order val="1"/>
          <c:tx>
            <c:strRef>
              <c:f>Final_Visualization_PivotTables!$C$6:$C$8</c:f>
              <c:strCache>
                <c:ptCount val="1"/>
                <c:pt idx="0">
                  <c:v>1 - Average of GD</c:v>
                </c:pt>
              </c:strCache>
            </c:strRef>
          </c:tx>
          <c:spPr>
            <a:ln w="28575" cap="rnd">
              <a:solidFill>
                <a:schemeClr val="tx1">
                  <a:lumMod val="85000"/>
                  <a:lumOff val="15000"/>
                </a:schemeClr>
              </a:solidFill>
              <a:round/>
            </a:ln>
            <a:effectLst/>
          </c:spPr>
          <c:marker>
            <c:symbol val="none"/>
          </c:marker>
          <c:dPt>
            <c:idx val="0"/>
            <c:marker>
              <c:symbol val="none"/>
            </c:marker>
            <c:bubble3D val="0"/>
            <c:extLst>
              <c:ext xmlns:c16="http://schemas.microsoft.com/office/drawing/2014/chart" uri="{C3380CC4-5D6E-409C-BE32-E72D297353CC}">
                <c16:uniqueId val="{00000007-C461-7743-9ADF-3F340B7A89AE}"/>
              </c:ext>
            </c:extLst>
          </c:dPt>
          <c:dPt>
            <c:idx val="1"/>
            <c:marker>
              <c:symbol val="none"/>
            </c:marker>
            <c:bubble3D val="0"/>
            <c:extLst>
              <c:ext xmlns:c16="http://schemas.microsoft.com/office/drawing/2014/chart" uri="{C3380CC4-5D6E-409C-BE32-E72D297353CC}">
                <c16:uniqueId val="{00000008-C461-7743-9ADF-3F340B7A89AE}"/>
              </c:ext>
            </c:extLst>
          </c:dPt>
          <c:dPt>
            <c:idx val="2"/>
            <c:marker>
              <c:symbol val="none"/>
            </c:marker>
            <c:bubble3D val="0"/>
            <c:extLst>
              <c:ext xmlns:c16="http://schemas.microsoft.com/office/drawing/2014/chart" uri="{C3380CC4-5D6E-409C-BE32-E72D297353CC}">
                <c16:uniqueId val="{00000009-C461-7743-9ADF-3F340B7A89AE}"/>
              </c:ext>
            </c:extLst>
          </c:dPt>
          <c:dPt>
            <c:idx val="3"/>
            <c:marker>
              <c:symbol val="none"/>
            </c:marker>
            <c:bubble3D val="0"/>
            <c:extLst>
              <c:ext xmlns:c16="http://schemas.microsoft.com/office/drawing/2014/chart" uri="{C3380CC4-5D6E-409C-BE32-E72D297353CC}">
                <c16:uniqueId val="{00000003-C461-7743-9ADF-3F340B7A89AE}"/>
              </c:ext>
            </c:extLst>
          </c:dPt>
          <c:dPt>
            <c:idx val="4"/>
            <c:marker>
              <c:symbol val="none"/>
            </c:marker>
            <c:bubble3D val="0"/>
            <c:extLst>
              <c:ext xmlns:c16="http://schemas.microsoft.com/office/drawing/2014/chart" uri="{C3380CC4-5D6E-409C-BE32-E72D297353CC}">
                <c16:uniqueId val="{0000000A-C461-7743-9ADF-3F340B7A89AE}"/>
              </c:ext>
            </c:extLst>
          </c:dPt>
          <c:dPt>
            <c:idx val="5"/>
            <c:marker>
              <c:symbol val="none"/>
            </c:marker>
            <c:bubble3D val="0"/>
            <c:spPr>
              <a:ln w="28575" cap="rnd">
                <a:solidFill>
                  <a:schemeClr val="tx1">
                    <a:lumMod val="85000"/>
                    <a:lumOff val="15000"/>
                  </a:schemeClr>
                </a:solidFill>
                <a:round/>
              </a:ln>
              <a:effectLst/>
            </c:spPr>
            <c:extLst>
              <c:ext xmlns:c16="http://schemas.microsoft.com/office/drawing/2014/chart" uri="{C3380CC4-5D6E-409C-BE32-E72D297353CC}">
                <c16:uniqueId val="{00000002-C461-7743-9ADF-3F340B7A89AE}"/>
              </c:ext>
            </c:extLst>
          </c:dPt>
          <c:dLbls>
            <c:dLbl>
              <c:idx val="5"/>
              <c:layout>
                <c:manualLayout>
                  <c:x val="-1.3547993286169248E-2"/>
                  <c:y val="4.3263292220714214E-3"/>
                </c:manualLayout>
              </c:layout>
              <c:tx>
                <c:rich>
                  <a:bodyPr/>
                  <a:lstStyle/>
                  <a:p>
                    <a:r>
                      <a:rPr lang="en-US"/>
                      <a:t>GD</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461-7743-9ADF-3F340B7A89AE}"/>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Final_Visualization_PivotTables!$A$9:$A$14</c:f>
              <c:strCache>
                <c:ptCount val="6"/>
                <c:pt idx="0">
                  <c:v>'18</c:v>
                </c:pt>
                <c:pt idx="1">
                  <c:v>'19</c:v>
                </c:pt>
                <c:pt idx="2">
                  <c:v>'20</c:v>
                </c:pt>
                <c:pt idx="3">
                  <c:v>'21</c:v>
                </c:pt>
                <c:pt idx="4">
                  <c:v>'22</c:v>
                </c:pt>
                <c:pt idx="5">
                  <c:v>'23</c:v>
                </c:pt>
              </c:strCache>
            </c:strRef>
          </c:cat>
          <c:val>
            <c:numRef>
              <c:f>Final_Visualization_PivotTables!$C$9:$C$14</c:f>
              <c:numCache>
                <c:formatCode>0.00</c:formatCode>
                <c:ptCount val="6"/>
                <c:pt idx="0">
                  <c:v>0.48275862068965519</c:v>
                </c:pt>
                <c:pt idx="1">
                  <c:v>1.4545454545454546</c:v>
                </c:pt>
                <c:pt idx="2">
                  <c:v>-0.125</c:v>
                </c:pt>
                <c:pt idx="3">
                  <c:v>-0.1</c:v>
                </c:pt>
                <c:pt idx="4">
                  <c:v>0.91428571428571426</c:v>
                </c:pt>
                <c:pt idx="5">
                  <c:v>0.53846153846153844</c:v>
                </c:pt>
              </c:numCache>
            </c:numRef>
          </c:val>
          <c:smooth val="0"/>
          <c:extLst>
            <c:ext xmlns:c16="http://schemas.microsoft.com/office/drawing/2014/chart" uri="{C3380CC4-5D6E-409C-BE32-E72D297353CC}">
              <c16:uniqueId val="{00000001-861A-2846-BF7F-21EFE03DFA13}"/>
            </c:ext>
          </c:extLst>
        </c:ser>
        <c:ser>
          <c:idx val="2"/>
          <c:order val="2"/>
          <c:tx>
            <c:strRef>
              <c:f>Final_Visualization_PivotTables!$D$6:$D$8</c:f>
              <c:strCache>
                <c:ptCount val="1"/>
                <c:pt idx="0">
                  <c:v>1 - Average of Zero_Line_Helper</c:v>
                </c:pt>
              </c:strCache>
            </c:strRef>
          </c:tx>
          <c:spPr>
            <a:ln w="3175" cap="rnd">
              <a:solidFill>
                <a:schemeClr val="bg2">
                  <a:lumMod val="75000"/>
                </a:schemeClr>
              </a:solidFill>
              <a:prstDash val="dash"/>
              <a:round/>
            </a:ln>
            <a:effectLst/>
          </c:spPr>
          <c:marker>
            <c:symbol val="none"/>
          </c:marker>
          <c:cat>
            <c:strRef>
              <c:f>Final_Visualization_PivotTables!$A$9:$A$14</c:f>
              <c:strCache>
                <c:ptCount val="6"/>
                <c:pt idx="0">
                  <c:v>'18</c:v>
                </c:pt>
                <c:pt idx="1">
                  <c:v>'19</c:v>
                </c:pt>
                <c:pt idx="2">
                  <c:v>'20</c:v>
                </c:pt>
                <c:pt idx="3">
                  <c:v>'21</c:v>
                </c:pt>
                <c:pt idx="4">
                  <c:v>'22</c:v>
                </c:pt>
                <c:pt idx="5">
                  <c:v>'23</c:v>
                </c:pt>
              </c:strCache>
            </c:strRef>
          </c:cat>
          <c:val>
            <c:numRef>
              <c:f>Final_Visualization_PivotTables!$D$9:$D$14</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0-C461-7743-9ADF-3F340B7A89AE}"/>
            </c:ext>
          </c:extLst>
        </c:ser>
        <c:dLbls>
          <c:showLegendKey val="0"/>
          <c:showVal val="0"/>
          <c:showCatName val="0"/>
          <c:showSerName val="0"/>
          <c:showPercent val="0"/>
          <c:showBubbleSize val="0"/>
        </c:dLbls>
        <c:smooth val="0"/>
        <c:axId val="46402176"/>
        <c:axId val="46410240"/>
      </c:lineChart>
      <c:catAx>
        <c:axId val="46402176"/>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sz="800" b="0" i="0">
                    <a:latin typeface="Inter Variable Text Light" panose="02000503000000020004" pitchFamily="2" charset="0"/>
                    <a:ea typeface="Inter Variable Text Light" panose="02000503000000020004" pitchFamily="2" charset="0"/>
                    <a:cs typeface="Inter Variable Text Light" panose="02000503000000020004" pitchFamily="2" charset="0"/>
                  </a:rPr>
                  <a:t>Season</a:t>
                </a:r>
              </a:p>
            </c:rich>
          </c:tx>
          <c:layout>
            <c:manualLayout>
              <c:xMode val="edge"/>
              <c:yMode val="edge"/>
              <c:x val="0.47645497444893847"/>
              <c:y val="0.9470629015085534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title>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endParaRPr lang="en-US"/>
          </a:p>
        </c:txPr>
        <c:crossAx val="46410240"/>
        <c:crossesAt val="0"/>
        <c:auto val="1"/>
        <c:lblAlgn val="ctr"/>
        <c:lblOffset val="100"/>
        <c:noMultiLvlLbl val="0"/>
      </c:catAx>
      <c:valAx>
        <c:axId val="46410240"/>
        <c:scaling>
          <c:orientation val="minMax"/>
          <c:min val="-0.2"/>
        </c:scaling>
        <c:delete val="0"/>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sz="800" b="0" i="0">
                    <a:latin typeface="Inter Variable Text Light" panose="02000503000000020004" pitchFamily="2" charset="0"/>
                    <a:ea typeface="Inter Variable Text Light" panose="02000503000000020004" pitchFamily="2" charset="0"/>
                    <a:cs typeface="Inter Variable Text Light" panose="02000503000000020004" pitchFamily="2" charset="0"/>
                  </a:rPr>
                  <a:t>Average</a:t>
                </a:r>
                <a:r>
                  <a:rPr lang="en-US" sz="800" b="0" i="0" baseline="0">
                    <a:latin typeface="Inter Variable Text Light" panose="02000503000000020004" pitchFamily="2" charset="0"/>
                    <a:ea typeface="Inter Variable Text Light" panose="02000503000000020004" pitchFamily="2" charset="0"/>
                    <a:cs typeface="Inter Variable Text Light" panose="02000503000000020004" pitchFamily="2" charset="0"/>
                  </a:rPr>
                  <a:t> Goal Differential</a:t>
                </a:r>
                <a:endParaRPr lang="en-US" sz="800" b="0" i="0">
                  <a:latin typeface="Inter Variable Text Light" panose="02000503000000020004" pitchFamily="2" charset="0"/>
                  <a:ea typeface="Inter Variable Text Light" panose="02000503000000020004" pitchFamily="2" charset="0"/>
                  <a:cs typeface="Inter Variable Text Light" panose="02000503000000020004" pitchFamily="2" charset="0"/>
                </a:endParaRPr>
              </a:p>
            </c:rich>
          </c:tx>
          <c:layout>
            <c:manualLayout>
              <c:xMode val="edge"/>
              <c:yMode val="edge"/>
              <c:x val="2.9291432466476565E-2"/>
              <c:y val="0.1054748682778546"/>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endParaRPr lang="en-US"/>
          </a:p>
        </c:txPr>
        <c:crossAx val="464021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AFA"/>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[fbref_LAFC_combined_Analysis.xlsx]Final_Visualization_PivotTables!PivotTable1</c:name>
    <c:fmtId val="8"/>
  </c:pivotSource>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r>
              <a:rPr lang="en-US" sz="900" b="0" i="0">
                <a:latin typeface="Inter Variable Text" panose="02000503000000020004" pitchFamily="2" charset="0"/>
                <a:ea typeface="Inter Variable Text" panose="02000503000000020004" pitchFamily="2" charset="0"/>
                <a:cs typeface="Inter Variable Text" panose="02000503000000020004" pitchFamily="2" charset="0"/>
              </a:rPr>
              <a:t>The Vela</a:t>
            </a:r>
            <a:r>
              <a:rPr lang="en-US" sz="900" b="0" i="0" baseline="0">
                <a:latin typeface="Inter Variable Text" panose="02000503000000020004" pitchFamily="2" charset="0"/>
                <a:ea typeface="Inter Variable Text" panose="02000503000000020004" pitchFamily="2" charset="0"/>
                <a:cs typeface="Inter Variable Text" panose="02000503000000020004" pitchFamily="2" charset="0"/>
              </a:rPr>
              <a:t> Variable</a:t>
            </a:r>
            <a:r>
              <a:rPr lang="en-US" sz="900" b="0" i="0">
                <a:latin typeface="Inter Variable Text" panose="02000503000000020004" pitchFamily="2" charset="0"/>
                <a:ea typeface="Inter Variable Text" panose="02000503000000020004" pitchFamily="2" charset="0"/>
                <a:cs typeface="Inter Variable Text" panose="02000503000000020004" pitchFamily="2" charset="0"/>
              </a:rPr>
              <a:t>: 2021</a:t>
            </a:r>
            <a:r>
              <a:rPr lang="en-US" sz="900" b="0" i="0" baseline="0">
                <a:latin typeface="Inter Variable Text" panose="02000503000000020004" pitchFamily="2" charset="0"/>
                <a:ea typeface="Inter Variable Text" panose="02000503000000020004" pitchFamily="2" charset="0"/>
                <a:cs typeface="Inter Variable Text" panose="02000503000000020004" pitchFamily="2" charset="0"/>
              </a:rPr>
              <a:t> Impact</a:t>
            </a:r>
            <a:r>
              <a:rPr lang="en-US" sz="900" b="0" i="0">
                <a:latin typeface="Inter Variable Text" panose="02000503000000020004" pitchFamily="2" charset="0"/>
                <a:ea typeface="Inter Variable Text" panose="02000503000000020004" pitchFamily="2" charset="0"/>
                <a:cs typeface="Inter Variable Text" panose="02000503000000020004" pitchFamily="2" charset="0"/>
              </a:rPr>
              <a:t> </a:t>
            </a:r>
          </a:p>
        </c:rich>
      </c:tx>
      <c:layout>
        <c:manualLayout>
          <c:xMode val="edge"/>
          <c:yMode val="edge"/>
          <c:x val="5.2097071525414963E-2"/>
          <c:y val="6.682122677229568E-3"/>
        </c:manualLayout>
      </c:layout>
      <c:overlay val="1"/>
      <c:spPr>
        <a:noFill/>
        <a:ln>
          <a:no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bg2">
              <a:lumMod val="75000"/>
            </a:schemeClr>
          </a:solidFill>
          <a:ln>
            <a:noFill/>
          </a:ln>
          <a:effectLst/>
        </c:spPr>
      </c:pivotFmt>
      <c:pivotFmt>
        <c:idx val="11"/>
        <c:spPr>
          <a:solidFill>
            <a:schemeClr val="bg2">
              <a:lumMod val="90000"/>
            </a:schemeClr>
          </a:solidFill>
          <a:ln>
            <a:noFill/>
          </a:ln>
          <a:effectLst/>
        </c:spPr>
      </c:pivotFmt>
      <c:pivotFmt>
        <c:idx val="12"/>
        <c:spPr>
          <a:solidFill>
            <a:srgbClr val="C39E6D"/>
          </a:solidFill>
          <a:ln>
            <a:noFill/>
          </a:ln>
          <a:effectLst/>
        </c:spPr>
        <c:dLbl>
          <c:idx val="0"/>
          <c:layout>
            <c:manualLayout>
              <c:x val="-2.2464900416922975E-3"/>
              <c:y val="3.2345412432580517E-2"/>
            </c:manualLayout>
          </c:layout>
          <c:tx>
            <c:rich>
              <a:bodyPr rot="0" spcFirstLastPara="1" vertOverflow="ellipsis" vert="horz" wrap="square" lIns="38100" tIns="19050" rIns="38100" bIns="19050" anchor="ctr" anchorCtr="1">
                <a:noAutofit/>
              </a:bodyPr>
              <a:lstStyle/>
              <a:p>
                <a:pPr>
                  <a:defRPr sz="500" b="0" i="0" u="none" strike="noStrike" kern="1200" baseline="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sz="500" b="0" i="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rPr>
                  <a:t>xGD</a:t>
                </a:r>
                <a:r>
                  <a:rPr lang="en-US" sz="500" b="0" i="0" baseline="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rPr>
                  <a:t> </a:t>
                </a:r>
                <a:r>
                  <a:rPr lang="en-US" sz="500" b="0" i="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rPr>
                  <a:t>+</a:t>
                </a:r>
                <a:fld id="{52D00D57-DA07-494B-8B0C-B791E9AF19CF}" type="VALUE">
                  <a:rPr lang="en-US" sz="500" b="0" i="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rPr>
                  <a:pPr>
                    <a:defRPr sz="50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t>[VALUE]</a:t>
                </a:fld>
                <a:endParaRPr lang="en-US" sz="500" b="0" i="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endParaRPr>
              </a:p>
            </c:rich>
          </c:tx>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415397800709138"/>
                  <c:h val="8.3707154585235172E-2"/>
                </c:manualLayout>
              </c15:layout>
              <c15:dlblFieldTable/>
              <c15:showDataLabelsRange val="0"/>
            </c:ext>
          </c:extLst>
        </c:dLbl>
      </c:pivotFmt>
      <c:pivotFmt>
        <c:idx val="13"/>
        <c:spPr>
          <a:solidFill>
            <a:schemeClr val="tx1">
              <a:lumMod val="95000"/>
              <a:lumOff val="5000"/>
              <a:alpha val="80000"/>
            </a:schemeClr>
          </a:solidFill>
          <a:ln>
            <a:noFill/>
          </a:ln>
          <a:effectLst/>
        </c:spPr>
        <c:dLbl>
          <c:idx val="0"/>
          <c:layout>
            <c:manualLayout>
              <c:x val="2.0392858870772654E-3"/>
              <c:y val="1.7962078419973448E-2"/>
            </c:manualLayout>
          </c:layout>
          <c:tx>
            <c:rich>
              <a:bodyPr rot="0" spcFirstLastPara="1" vertOverflow="ellipsis" vert="horz" wrap="square" lIns="38100" tIns="19050" rIns="38100" bIns="19050" anchor="ctr" anchorCtr="1">
                <a:noAutofit/>
              </a:bodyPr>
              <a:lstStyle/>
              <a:p>
                <a:pPr>
                  <a:defRPr sz="500" b="0" i="0" u="none" strike="noStrike" kern="1200" baseline="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sz="500" b="0" i="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rPr>
                  <a:t>GD </a:t>
                </a:r>
                <a:fld id="{8B0D2E1C-7AAF-C345-BFC6-F5E8CFD171AF}" type="VALUE">
                  <a:rPr lang="en-US" sz="500" b="0" i="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rPr>
                  <a:pPr>
                    <a:defRPr sz="50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t>[VALUE]</a:t>
                </a:fld>
                <a:endParaRPr lang="en-US" sz="500" b="0" i="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endParaRPr>
              </a:p>
            </c:rich>
          </c:tx>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546387619830942"/>
                  <c:h val="5.1768023945509827E-2"/>
                </c:manualLayout>
              </c15:layout>
              <c15:dlblFieldTable/>
              <c15:showDataLabelsRange val="0"/>
            </c:ext>
          </c:extLst>
        </c:dLbl>
      </c:pivotFmt>
    </c:pivotFmts>
    <c:plotArea>
      <c:layout>
        <c:manualLayout>
          <c:layoutTarget val="inner"/>
          <c:xMode val="edge"/>
          <c:yMode val="edge"/>
          <c:x val="0.1239953033084953"/>
          <c:y val="0.14825933477019865"/>
          <c:w val="0.85455838390533201"/>
          <c:h val="0.75601632153980325"/>
        </c:manualLayout>
      </c:layout>
      <c:barChart>
        <c:barDir val="col"/>
        <c:grouping val="clustered"/>
        <c:varyColors val="0"/>
        <c:ser>
          <c:idx val="0"/>
          <c:order val="0"/>
          <c:tx>
            <c:strRef>
              <c:f>Final_Visualization_PivotTables!$B$39</c:f>
              <c:strCache>
                <c:ptCount val="1"/>
                <c:pt idx="0">
                  <c:v>Average of xGD</c:v>
                </c:pt>
              </c:strCache>
            </c:strRef>
          </c:tx>
          <c:spPr>
            <a:solidFill>
              <a:schemeClr val="accent1"/>
            </a:solidFill>
            <a:ln>
              <a:noFill/>
            </a:ln>
            <a:effectLst/>
          </c:spPr>
          <c:invertIfNegative val="0"/>
          <c:dPt>
            <c:idx val="0"/>
            <c:invertIfNegative val="0"/>
            <c:bubble3D val="0"/>
            <c:spPr>
              <a:solidFill>
                <a:schemeClr val="bg2">
                  <a:lumMod val="75000"/>
                </a:schemeClr>
              </a:solidFill>
              <a:ln>
                <a:noFill/>
              </a:ln>
              <a:effectLst/>
            </c:spPr>
            <c:extLst>
              <c:ext xmlns:c16="http://schemas.microsoft.com/office/drawing/2014/chart" uri="{C3380CC4-5D6E-409C-BE32-E72D297353CC}">
                <c16:uniqueId val="{00000005-E9E9-8C48-B1BF-A81115B20124}"/>
              </c:ext>
            </c:extLst>
          </c:dPt>
          <c:dPt>
            <c:idx val="1"/>
            <c:invertIfNegative val="0"/>
            <c:bubble3D val="0"/>
            <c:spPr>
              <a:solidFill>
                <a:srgbClr val="C39E6D"/>
              </a:solidFill>
              <a:ln>
                <a:noFill/>
              </a:ln>
              <a:effectLst/>
            </c:spPr>
            <c:extLst>
              <c:ext xmlns:c16="http://schemas.microsoft.com/office/drawing/2014/chart" uri="{C3380CC4-5D6E-409C-BE32-E72D297353CC}">
                <c16:uniqueId val="{00000007-E9E9-8C48-B1BF-A81115B20124}"/>
              </c:ext>
            </c:extLst>
          </c:dPt>
          <c:dLbls>
            <c:dLbl>
              <c:idx val="1"/>
              <c:layout>
                <c:manualLayout>
                  <c:x val="-2.2464900416922975E-3"/>
                  <c:y val="3.2345412432580517E-2"/>
                </c:manualLayout>
              </c:layout>
              <c:tx>
                <c:rich>
                  <a:bodyPr rot="0" spcFirstLastPara="1" vertOverflow="ellipsis" vert="horz" wrap="square" lIns="38100" tIns="19050" rIns="38100" bIns="19050" anchor="ctr" anchorCtr="1">
                    <a:noAutofit/>
                  </a:bodyPr>
                  <a:lstStyle/>
                  <a:p>
                    <a:pPr>
                      <a:defRPr sz="500" b="0" i="0" u="none" strike="noStrike" kern="1200" baseline="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sz="500" b="0" i="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rPr>
                      <a:t>xGD</a:t>
                    </a:r>
                    <a:r>
                      <a:rPr lang="en-US" sz="500" b="0" i="0" baseline="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rPr>
                      <a:t> </a:t>
                    </a:r>
                    <a:r>
                      <a:rPr lang="en-US" sz="500" b="0" i="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rPr>
                      <a:t>+</a:t>
                    </a:r>
                    <a:fld id="{52D00D57-DA07-494B-8B0C-B791E9AF19CF}" type="VALUE">
                      <a:rPr lang="en-US" sz="500" b="0" i="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rPr>
                      <a:pPr>
                        <a:defRPr sz="50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t>[VALUE]</a:t>
                    </a:fld>
                    <a:endParaRPr lang="en-US" sz="500" b="0" i="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endParaRPr>
                  </a:p>
                </c:rich>
              </c:tx>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415397800709138"/>
                      <c:h val="8.3707154585235172E-2"/>
                    </c:manualLayout>
                  </c15:layout>
                  <c15:dlblFieldTable/>
                  <c15:showDataLabelsRange val="0"/>
                </c:ext>
                <c:ext xmlns:c16="http://schemas.microsoft.com/office/drawing/2014/chart" uri="{C3380CC4-5D6E-409C-BE32-E72D297353CC}">
                  <c16:uniqueId val="{00000007-E9E9-8C48-B1BF-A81115B20124}"/>
                </c:ext>
              </c:extLst>
            </c:dLbl>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Final_Visualization_PivotTables!$A$40:$A$41</c:f>
              <c:strCache>
                <c:ptCount val="2"/>
                <c:pt idx="0">
                  <c:v>0</c:v>
                </c:pt>
                <c:pt idx="1">
                  <c:v>1</c:v>
                </c:pt>
              </c:strCache>
            </c:strRef>
          </c:cat>
          <c:val>
            <c:numRef>
              <c:f>Final_Visualization_PivotTables!$B$40:$B$41</c:f>
              <c:numCache>
                <c:formatCode>0.00</c:formatCode>
                <c:ptCount val="2"/>
                <c:pt idx="0">
                  <c:v>0.32142857142857145</c:v>
                </c:pt>
                <c:pt idx="1">
                  <c:v>0.82500000000000018</c:v>
                </c:pt>
              </c:numCache>
            </c:numRef>
          </c:val>
          <c:extLst>
            <c:ext xmlns:c16="http://schemas.microsoft.com/office/drawing/2014/chart" uri="{C3380CC4-5D6E-409C-BE32-E72D297353CC}">
              <c16:uniqueId val="{00000000-E9E9-8C48-B1BF-A81115B20124}"/>
            </c:ext>
          </c:extLst>
        </c:ser>
        <c:ser>
          <c:idx val="1"/>
          <c:order val="1"/>
          <c:tx>
            <c:strRef>
              <c:f>Final_Visualization_PivotTables!$C$39</c:f>
              <c:strCache>
                <c:ptCount val="1"/>
                <c:pt idx="0">
                  <c:v>Average of GD</c:v>
                </c:pt>
              </c:strCache>
            </c:strRef>
          </c:tx>
          <c:spPr>
            <a:solidFill>
              <a:schemeClr val="accent2"/>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6-E9E9-8C48-B1BF-A81115B20124}"/>
              </c:ext>
            </c:extLst>
          </c:dPt>
          <c:dPt>
            <c:idx val="1"/>
            <c:invertIfNegative val="0"/>
            <c:bubble3D val="0"/>
            <c:spPr>
              <a:solidFill>
                <a:schemeClr val="tx1">
                  <a:lumMod val="95000"/>
                  <a:lumOff val="5000"/>
                  <a:alpha val="80000"/>
                </a:schemeClr>
              </a:solidFill>
              <a:ln>
                <a:noFill/>
              </a:ln>
              <a:effectLst/>
            </c:spPr>
            <c:extLst>
              <c:ext xmlns:c16="http://schemas.microsoft.com/office/drawing/2014/chart" uri="{C3380CC4-5D6E-409C-BE32-E72D297353CC}">
                <c16:uniqueId val="{00000008-E9E9-8C48-B1BF-A81115B20124}"/>
              </c:ext>
            </c:extLst>
          </c:dPt>
          <c:dLbls>
            <c:dLbl>
              <c:idx val="1"/>
              <c:layout>
                <c:manualLayout>
                  <c:x val="2.0392858870772654E-3"/>
                  <c:y val="1.7962078419973448E-2"/>
                </c:manualLayout>
              </c:layout>
              <c:tx>
                <c:rich>
                  <a:bodyPr rot="0" spcFirstLastPara="1" vertOverflow="ellipsis" vert="horz" wrap="square" lIns="38100" tIns="19050" rIns="38100" bIns="19050" anchor="ctr" anchorCtr="1">
                    <a:noAutofit/>
                  </a:bodyPr>
                  <a:lstStyle/>
                  <a:p>
                    <a:pPr>
                      <a:defRPr sz="500" b="0" i="0" u="none" strike="noStrike" kern="1200" baseline="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sz="500" b="0" i="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rPr>
                      <a:t>GD </a:t>
                    </a:r>
                    <a:fld id="{8B0D2E1C-7AAF-C345-BFC6-F5E8CFD171AF}" type="VALUE">
                      <a:rPr lang="en-US" sz="500" b="0" i="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rPr>
                      <a:pPr>
                        <a:defRPr sz="50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t>[VALUE]</a:t>
                    </a:fld>
                    <a:endParaRPr lang="en-US" sz="500" b="0" i="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endParaRPr>
                  </a:p>
                </c:rich>
              </c:tx>
              <c:spPr>
                <a:noFill/>
                <a:ln>
                  <a:noFill/>
                </a:ln>
                <a:effectLst/>
              </c:spPr>
              <c:txPr>
                <a:bodyPr rot="0" spcFirstLastPara="1" vertOverflow="ellipsis" vert="horz" wrap="square" lIns="38100" tIns="19050" rIns="38100" bIns="19050" anchor="ctr" anchorCtr="1">
                  <a:noAutofit/>
                </a:bodyPr>
                <a:lstStyle/>
                <a:p>
                  <a:pPr>
                    <a:defRPr sz="500" b="0" i="0" u="none" strike="noStrike" kern="1200" baseline="0">
                      <a:solidFill>
                        <a:schemeClr val="tx1">
                          <a:lumMod val="95000"/>
                          <a:lumOff val="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546387619830942"/>
                      <c:h val="5.1768023945509827E-2"/>
                    </c:manualLayout>
                  </c15:layout>
                  <c15:dlblFieldTable/>
                  <c15:showDataLabelsRange val="0"/>
                </c:ext>
                <c:ext xmlns:c16="http://schemas.microsoft.com/office/drawing/2014/chart" uri="{C3380CC4-5D6E-409C-BE32-E72D297353CC}">
                  <c16:uniqueId val="{00000008-E9E9-8C48-B1BF-A81115B20124}"/>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noFill/>
                      <a:round/>
                    </a:ln>
                    <a:effectLst/>
                  </c:spPr>
                </c15:leaderLines>
              </c:ext>
            </c:extLst>
          </c:dLbls>
          <c:cat>
            <c:strRef>
              <c:f>Final_Visualization_PivotTables!$A$40:$A$41</c:f>
              <c:strCache>
                <c:ptCount val="2"/>
                <c:pt idx="0">
                  <c:v>0</c:v>
                </c:pt>
                <c:pt idx="1">
                  <c:v>1</c:v>
                </c:pt>
              </c:strCache>
            </c:strRef>
          </c:cat>
          <c:val>
            <c:numRef>
              <c:f>Final_Visualization_PivotTables!$C$40:$C$41</c:f>
              <c:numCache>
                <c:formatCode>0.00</c:formatCode>
                <c:ptCount val="2"/>
                <c:pt idx="0">
                  <c:v>0.2857142857142857</c:v>
                </c:pt>
                <c:pt idx="1">
                  <c:v>-0.1</c:v>
                </c:pt>
              </c:numCache>
            </c:numRef>
          </c:val>
          <c:extLst>
            <c:ext xmlns:c16="http://schemas.microsoft.com/office/drawing/2014/chart" uri="{C3380CC4-5D6E-409C-BE32-E72D297353CC}">
              <c16:uniqueId val="{00000001-E9E9-8C48-B1BF-A81115B20124}"/>
            </c:ext>
          </c:extLst>
        </c:ser>
        <c:dLbls>
          <c:showLegendKey val="0"/>
          <c:showVal val="0"/>
          <c:showCatName val="0"/>
          <c:showSerName val="0"/>
          <c:showPercent val="0"/>
          <c:showBubbleSize val="0"/>
        </c:dLbls>
        <c:gapWidth val="250"/>
        <c:axId val="56356224"/>
        <c:axId val="2143135807"/>
      </c:barChart>
      <c:catAx>
        <c:axId val="56356224"/>
        <c:scaling>
          <c:orientation val="minMax"/>
        </c:scaling>
        <c:delete val="1"/>
        <c:axPos val="b"/>
        <c:numFmt formatCode="General" sourceLinked="1"/>
        <c:majorTickMark val="none"/>
        <c:minorTickMark val="none"/>
        <c:tickLblPos val="nextTo"/>
        <c:crossAx val="2143135807"/>
        <c:crossesAt val="0"/>
        <c:auto val="1"/>
        <c:lblAlgn val="ctr"/>
        <c:lblOffset val="100"/>
        <c:noMultiLvlLbl val="0"/>
      </c:catAx>
      <c:valAx>
        <c:axId val="2143135807"/>
        <c:scaling>
          <c:orientation val="minMax"/>
        </c:scaling>
        <c:delete val="0"/>
        <c:axPos val="l"/>
        <c:title>
          <c:tx>
            <c:rich>
              <a:bodyPr rot="-5400000" spcFirstLastPara="1" vertOverflow="ellipsis" vert="horz" wrap="square" anchor="ctr" anchorCtr="1"/>
              <a:lstStyle/>
              <a:p>
                <a:pPr>
                  <a:defRPr sz="600" b="0" i="0" u="none" strike="noStrike" kern="1200" baseline="0">
                    <a:solidFill>
                      <a:schemeClr val="tx1">
                        <a:lumMod val="65000"/>
                        <a:lumOff val="3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sz="600"/>
                  <a:t>Average Goal Differential</a:t>
                </a:r>
              </a:p>
            </c:rich>
          </c:tx>
          <c:layout>
            <c:manualLayout>
              <c:xMode val="edge"/>
              <c:yMode val="edge"/>
              <c:x val="2.6121498261830089E-2"/>
              <c:y val="0.11497873827692666"/>
            </c:manualLayout>
          </c:layout>
          <c:overlay val="0"/>
          <c:spPr>
            <a:noFill/>
            <a:ln>
              <a:noFill/>
            </a:ln>
            <a:effectLst/>
          </c:spPr>
          <c:txPr>
            <a:bodyPr rot="-5400000" spcFirstLastPara="1" vertOverflow="ellipsis" vert="horz" wrap="square" anchor="ctr" anchorCtr="1"/>
            <a:lstStyle/>
            <a:p>
              <a:pPr>
                <a:defRPr sz="600" b="0" i="0" u="none" strike="noStrike" kern="1200" baseline="0">
                  <a:solidFill>
                    <a:schemeClr val="tx1">
                      <a:lumMod val="65000"/>
                      <a:lumOff val="3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endParaRPr lang="en-US"/>
          </a:p>
        </c:txPr>
        <c:crossAx val="5635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AFA"/>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lrMapOvr bg1="lt1" tx1="dk1" bg2="lt2" tx2="dk2" accent1="accent1" accent2="accent2" accent3="accent3" accent4="accent4" accent5="accent5" accent6="accent6" hlink="hlink" folHlink="folHlink"/>
  <c:pivotSource>
    <c:name>[fbref_LAFC_combined_Analysis.xlsx]Final_Visualization_PivotTables!PivotTable2</c:name>
    <c:fmtId val="6"/>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r>
              <a:rPr lang="en-US" sz="1100" b="0" i="0">
                <a:latin typeface="Inter Variable Text" panose="02000503000000020004" pitchFamily="2" charset="0"/>
                <a:ea typeface="Inter Variable Text" panose="02000503000000020004" pitchFamily="2" charset="0"/>
                <a:cs typeface="Inter Variable Text" panose="02000503000000020004" pitchFamily="2" charset="0"/>
              </a:rPr>
              <a:t>LAFC Performance Analysis</a:t>
            </a:r>
            <a:r>
              <a:rPr lang="en-US" sz="1100" b="0" i="0" baseline="0">
                <a:latin typeface="Inter Variable Text" panose="02000503000000020004" pitchFamily="2" charset="0"/>
                <a:ea typeface="Inter Variable Text" panose="02000503000000020004" pitchFamily="2" charset="0"/>
                <a:cs typeface="Inter Variable Text" panose="02000503000000020004" pitchFamily="2" charset="0"/>
              </a:rPr>
              <a:t> (2018 - 2023)</a:t>
            </a:r>
          </a:p>
        </c:rich>
      </c:tx>
      <c:layout>
        <c:manualLayout>
          <c:xMode val="edge"/>
          <c:yMode val="edge"/>
          <c:x val="3.3466494538966933E-2"/>
          <c:y val="6.3733282721178588E-3"/>
        </c:manualLayout>
      </c:layout>
      <c:overlay val="1"/>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endParaRPr lang="en-US"/>
        </a:p>
      </c:txPr>
    </c:title>
    <c:autoTitleDeleted val="0"/>
    <c:pivotFmts>
      <c:pivotFmt>
        <c:idx val="0"/>
        <c:spPr>
          <a:solidFill>
            <a:schemeClr val="dk1">
              <a:tint val="88500"/>
            </a:schemeClr>
          </a:solidFill>
          <a:ln w="28575" cap="rnd">
            <a:solidFill>
              <a:schemeClr val="dk1">
                <a:tint val="885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dk1">
              <a:tint val="88500"/>
            </a:schemeClr>
          </a:solidFill>
          <a:ln w="28575" cap="rnd">
            <a:solidFill>
              <a:schemeClr val="dk1">
                <a:tint val="885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dk1">
              <a:tint val="88500"/>
            </a:schemeClr>
          </a:solidFill>
          <a:ln w="28575" cap="rnd">
            <a:solidFill>
              <a:schemeClr val="dk1">
                <a:tint val="88500"/>
              </a:schemeClr>
            </a:solidFill>
            <a:round/>
          </a:ln>
          <a:effectLst/>
        </c:spPr>
      </c:pivotFmt>
      <c:pivotFmt>
        <c:idx val="3"/>
        <c:spPr>
          <a:solidFill>
            <a:schemeClr val="dk1">
              <a:tint val="88500"/>
            </a:schemeClr>
          </a:solidFill>
          <a:ln w="22225" cap="flat">
            <a:solidFill>
              <a:srgbClr val="9FB7D9">
                <a:alpha val="90000"/>
              </a:srgbClr>
            </a:solidFill>
            <a:prstDash val="sysDot"/>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dk1">
              <a:tint val="88500"/>
            </a:schemeClr>
          </a:solidFill>
          <a:ln w="25400" cap="rnd">
            <a:solidFill>
              <a:srgbClr val="C39E6D">
                <a:alpha val="90000"/>
              </a:srgb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dk1">
              <a:tint val="88500"/>
            </a:schemeClr>
          </a:solidFill>
          <a:ln w="28575" cap="rnd">
            <a:solidFill>
              <a:schemeClr val="dk1">
                <a:tint val="885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dk1">
              <a:tint val="88500"/>
            </a:schemeClr>
          </a:solidFill>
          <a:ln w="3175" cap="rnd">
            <a:solidFill>
              <a:schemeClr val="dk1">
                <a:tint val="88500"/>
              </a:schemeClr>
            </a:solidFill>
            <a:prstDash val="dash"/>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dk1">
              <a:tint val="88500"/>
            </a:schemeClr>
          </a:solidFill>
          <a:ln w="25400" cap="rnd">
            <a:solidFill>
              <a:srgbClr val="C39E6D">
                <a:alpha val="90000"/>
              </a:srgbClr>
            </a:solidFill>
            <a:round/>
          </a:ln>
          <a:effectLst>
            <a:glow>
              <a:schemeClr val="accent1">
                <a:alpha val="40000"/>
              </a:schemeClr>
            </a:glow>
            <a:outerShdw blurRad="50800" dist="50800" dir="5400000" sx="1000" sy="1000" algn="ctr" rotWithShape="0">
              <a:srgbClr val="000000">
                <a:alpha val="43137"/>
              </a:srgbClr>
            </a:outerShdw>
          </a:effectLst>
        </c:spPr>
      </c:pivotFmt>
      <c:pivotFmt>
        <c:idx val="8"/>
        <c:spPr>
          <a:solidFill>
            <a:schemeClr val="dk1">
              <a:tint val="88500"/>
            </a:schemeClr>
          </a:solidFill>
          <a:ln w="25400" cap="rnd">
            <a:solidFill>
              <a:srgbClr val="C39E6D">
                <a:alpha val="90000"/>
              </a:srgbClr>
            </a:solidFill>
            <a:round/>
          </a:ln>
          <a:effectLst/>
        </c:spPr>
      </c:pivotFmt>
      <c:pivotFmt>
        <c:idx val="9"/>
        <c:spPr>
          <a:solidFill>
            <a:schemeClr val="dk1">
              <a:tint val="88500"/>
            </a:schemeClr>
          </a:solidFill>
          <a:ln w="25400" cap="rnd">
            <a:solidFill>
              <a:srgbClr val="C39E6D">
                <a:alpha val="90000"/>
              </a:srgb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dk1">
              <a:tint val="88500"/>
            </a:schemeClr>
          </a:solidFill>
          <a:ln w="25400" cap="rnd">
            <a:solidFill>
              <a:srgbClr val="C39E6D">
                <a:alpha val="90000"/>
              </a:srgbClr>
            </a:solidFill>
            <a:round/>
          </a:ln>
          <a:effectLst/>
        </c:spPr>
      </c:pivotFmt>
      <c:pivotFmt>
        <c:idx val="11"/>
        <c:spPr>
          <a:solidFill>
            <a:schemeClr val="dk1">
              <a:tint val="88500"/>
            </a:schemeClr>
          </a:solidFill>
          <a:ln w="25400" cap="rnd">
            <a:solidFill>
              <a:srgbClr val="C39E6D">
                <a:alpha val="90000"/>
              </a:srgbClr>
            </a:solidFill>
            <a:round/>
          </a:ln>
          <a:effectLst/>
        </c:spPr>
      </c:pivotFmt>
      <c:pivotFmt>
        <c:idx val="12"/>
        <c:spPr>
          <a:solidFill>
            <a:schemeClr val="dk1">
              <a:tint val="88500"/>
            </a:schemeClr>
          </a:solidFill>
          <a:ln w="25400" cap="rnd">
            <a:solidFill>
              <a:srgbClr val="C39E6D">
                <a:alpha val="90000"/>
              </a:srgbClr>
            </a:solidFill>
            <a:round/>
          </a:ln>
          <a:effectLst/>
        </c:spPr>
        <c:marker>
          <c:spPr>
            <a:solidFill>
              <a:srgbClr val="C39E6D"/>
            </a:solidFill>
            <a:ln w="9525" cap="flat">
              <a:noFill/>
            </a:ln>
            <a:effectLst/>
          </c:spPr>
        </c:marker>
      </c:pivotFmt>
      <c:pivotFmt>
        <c:idx val="13"/>
        <c:spPr>
          <a:solidFill>
            <a:schemeClr val="dk1">
              <a:tint val="88500"/>
            </a:schemeClr>
          </a:solidFill>
          <a:ln w="22225" cap="flat">
            <a:solidFill>
              <a:srgbClr val="9FB7D9">
                <a:alpha val="90000"/>
              </a:srgbClr>
            </a:solidFill>
            <a:prstDash val="sysDot"/>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dk1">
              <a:tint val="88500"/>
            </a:schemeClr>
          </a:solidFill>
          <a:ln w="22225" cap="flat">
            <a:solidFill>
              <a:srgbClr val="9FB7D9">
                <a:alpha val="90000"/>
              </a:srgbClr>
            </a:solidFill>
            <a:prstDash val="sysDot"/>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dk1">
              <a:tint val="88500"/>
            </a:schemeClr>
          </a:solidFill>
          <a:ln w="22225" cap="flat">
            <a:solidFill>
              <a:srgbClr val="9FB7D9">
                <a:alpha val="90000"/>
              </a:srgbClr>
            </a:solidFill>
            <a:prstDash val="sysDot"/>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dk1">
              <a:tint val="88500"/>
            </a:schemeClr>
          </a:solidFill>
          <a:ln w="22225" cap="flat">
            <a:solidFill>
              <a:srgbClr val="9FB7D9">
                <a:alpha val="90000"/>
              </a:srgbClr>
            </a:solidFill>
            <a:prstDash val="sysDot"/>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dk1">
              <a:tint val="88500"/>
            </a:schemeClr>
          </a:solidFill>
          <a:ln w="22225" cap="flat">
            <a:solidFill>
              <a:srgbClr val="9FB7D9">
                <a:alpha val="90000"/>
              </a:srgbClr>
            </a:solidFill>
            <a:prstDash val="sysDot"/>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dk1">
              <a:tint val="88500"/>
            </a:schemeClr>
          </a:solidFill>
          <a:ln w="22225" cap="flat">
            <a:solidFill>
              <a:srgbClr val="9FB7D9">
                <a:alpha val="90000"/>
              </a:srgbClr>
            </a:solidFill>
            <a:prstDash val="sysDot"/>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dk1">
              <a:tint val="88500"/>
            </a:schemeClr>
          </a:solidFill>
          <a:ln w="22225" cap="flat">
            <a:solidFill>
              <a:srgbClr val="9FB7D9">
                <a:alpha val="90000"/>
              </a:srgbClr>
            </a:solidFill>
            <a:prstDash val="sysDot"/>
            <a:round/>
          </a:ln>
          <a:effectLst/>
        </c:spPr>
      </c:pivotFmt>
      <c:pivotFmt>
        <c:idx val="20"/>
        <c:spPr>
          <a:solidFill>
            <a:schemeClr val="dk1">
              <a:tint val="88500"/>
            </a:schemeClr>
          </a:solidFill>
          <a:ln w="22225" cap="flat">
            <a:solidFill>
              <a:srgbClr val="9FB7D9">
                <a:alpha val="90000"/>
              </a:srgbClr>
            </a:solidFill>
            <a:prstDash val="sysDot"/>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dk1">
              <a:tint val="88500"/>
            </a:schemeClr>
          </a:solidFill>
          <a:ln w="22225" cap="flat">
            <a:solidFill>
              <a:srgbClr val="9FB7D9">
                <a:alpha val="90000"/>
              </a:srgbClr>
            </a:solidFill>
            <a:prstDash val="sysDot"/>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dk1">
              <a:tint val="88500"/>
            </a:schemeClr>
          </a:solidFill>
          <a:ln w="22225" cap="flat">
            <a:solidFill>
              <a:srgbClr val="9FB7D9">
                <a:alpha val="90000"/>
              </a:srgbClr>
            </a:solidFill>
            <a:prstDash val="sysDot"/>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dk1">
              <a:tint val="88500"/>
            </a:schemeClr>
          </a:solidFill>
          <a:ln w="22225" cap="flat">
            <a:solidFill>
              <a:srgbClr val="9FB7D9">
                <a:alpha val="90000"/>
              </a:srgbClr>
            </a:solidFill>
            <a:prstDash val="sysDot"/>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dk1">
              <a:tint val="88500"/>
            </a:schemeClr>
          </a:solidFill>
          <a:ln w="22225" cap="flat">
            <a:solidFill>
              <a:srgbClr val="9FB7D9">
                <a:alpha val="90000"/>
              </a:srgbClr>
            </a:solidFill>
            <a:prstDash val="sysDot"/>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dk1">
              <a:tint val="88500"/>
            </a:schemeClr>
          </a:solidFill>
          <a:ln w="22225" cap="flat">
            <a:solidFill>
              <a:srgbClr val="9FB7D9">
                <a:alpha val="90000"/>
              </a:srgbClr>
            </a:solidFill>
            <a:prstDash val="sysDot"/>
            <a:round/>
          </a:ln>
          <a:effectLst/>
        </c:spP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dk1">
              <a:tint val="88500"/>
            </a:schemeClr>
          </a:solidFill>
          <a:ln w="25400" cap="rnd">
            <a:solidFill>
              <a:srgbClr val="C39E6D">
                <a:alpha val="90000"/>
              </a:srgb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dk1">
              <a:tint val="88500"/>
            </a:schemeClr>
          </a:solidFill>
          <a:ln w="25400" cap="rnd">
            <a:solidFill>
              <a:srgbClr val="C39E6D">
                <a:alpha val="90000"/>
              </a:srgbClr>
            </a:solidFill>
            <a:round/>
          </a:ln>
          <a:effectLst/>
        </c:spPr>
      </c:pivotFmt>
      <c:pivotFmt>
        <c:idx val="28"/>
        <c:spPr>
          <a:solidFill>
            <a:schemeClr val="dk1">
              <a:tint val="88500"/>
            </a:schemeClr>
          </a:solidFill>
          <a:ln w="25400" cap="rnd">
            <a:solidFill>
              <a:srgbClr val="C39E6D">
                <a:alpha val="90000"/>
              </a:srgbClr>
            </a:solidFill>
            <a:round/>
          </a:ln>
          <a:effectLst/>
        </c:spPr>
      </c:pivotFmt>
      <c:pivotFmt>
        <c:idx val="29"/>
        <c:spPr>
          <a:solidFill>
            <a:schemeClr val="dk1">
              <a:tint val="88500"/>
            </a:schemeClr>
          </a:solidFill>
          <a:ln w="25400" cap="rnd">
            <a:solidFill>
              <a:srgbClr val="C39E6D">
                <a:alpha val="90000"/>
              </a:srgbClr>
            </a:solidFill>
            <a:round/>
          </a:ln>
          <a:effectLst/>
        </c:spPr>
      </c:pivotFmt>
      <c:pivotFmt>
        <c:idx val="30"/>
        <c:spPr>
          <a:solidFill>
            <a:schemeClr val="dk1">
              <a:tint val="88500"/>
            </a:schemeClr>
          </a:solidFill>
          <a:ln w="25400" cap="rnd">
            <a:solidFill>
              <a:srgbClr val="C39E6D">
                <a:alpha val="90000"/>
              </a:srgbClr>
            </a:solidFill>
            <a:round/>
          </a:ln>
          <a:effectLst/>
        </c:spPr>
        <c:marker>
          <c:spPr>
            <a:solidFill>
              <a:srgbClr val="C39E6D"/>
            </a:solidFill>
            <a:ln w="9525" cap="flat">
              <a:noFill/>
            </a:ln>
            <a:effectLst/>
          </c:spPr>
        </c:marker>
      </c:pivotFmt>
      <c:pivotFmt>
        <c:idx val="31"/>
        <c:spPr>
          <a:solidFill>
            <a:schemeClr val="dk1">
              <a:tint val="88500"/>
            </a:schemeClr>
          </a:solidFill>
          <a:ln w="25400" cap="rnd">
            <a:solidFill>
              <a:srgbClr val="C39E6D">
                <a:alpha val="90000"/>
              </a:srgbClr>
            </a:solidFill>
            <a:round/>
          </a:ln>
          <a:effectLst/>
        </c:spPr>
      </c:pivotFmt>
      <c:pivotFmt>
        <c:idx val="32"/>
        <c:spPr>
          <a:solidFill>
            <a:schemeClr val="dk1">
              <a:tint val="88500"/>
            </a:schemeClr>
          </a:solidFill>
          <a:ln w="25400" cap="rnd">
            <a:solidFill>
              <a:srgbClr val="C39E6D">
                <a:alpha val="90000"/>
              </a:srgbClr>
            </a:solidFill>
            <a:round/>
          </a:ln>
          <a:effectLst>
            <a:glow>
              <a:schemeClr val="accent1">
                <a:alpha val="40000"/>
              </a:schemeClr>
            </a:glow>
            <a:outerShdw blurRad="50800" dist="50800" dir="5400000" sx="1000" sy="1000" algn="ctr" rotWithShape="0">
              <a:srgbClr val="000000">
                <a:alpha val="43137"/>
              </a:srgbClr>
            </a:outerShdw>
          </a:effectLst>
        </c:spPr>
      </c:pivotFmt>
      <c:pivotFmt>
        <c:idx val="33"/>
        <c:spPr>
          <a:ln w="22225" cap="flat">
            <a:solidFill>
              <a:srgbClr val="C39E6D">
                <a:alpha val="90000"/>
              </a:srgbClr>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C39E6D"/>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dk1">
              <a:tint val="88500"/>
            </a:schemeClr>
          </a:solidFill>
          <a:ln w="22225" cap="flat">
            <a:solidFill>
              <a:srgbClr val="C39E6D">
                <a:alpha val="90000"/>
              </a:srgbClr>
            </a:solidFill>
            <a:prstDash val="sysDot"/>
            <a:round/>
          </a:ln>
          <a:effectLst/>
        </c:spPr>
        <c:marker>
          <c:symbol val="none"/>
        </c:marker>
      </c:pivotFmt>
      <c:pivotFmt>
        <c:idx val="35"/>
        <c:spPr>
          <a:solidFill>
            <a:schemeClr val="dk1">
              <a:tint val="88500"/>
            </a:schemeClr>
          </a:solidFill>
          <a:ln w="22225" cap="flat">
            <a:solidFill>
              <a:srgbClr val="C39E6D">
                <a:alpha val="90000"/>
              </a:srgbClr>
            </a:solidFill>
            <a:prstDash val="sysDot"/>
            <a:round/>
          </a:ln>
          <a:effectLst/>
        </c:spPr>
        <c:marker>
          <c:symbol val="none"/>
        </c:marker>
      </c:pivotFmt>
      <c:pivotFmt>
        <c:idx val="36"/>
        <c:spPr>
          <a:solidFill>
            <a:schemeClr val="dk1">
              <a:tint val="88500"/>
            </a:schemeClr>
          </a:solidFill>
          <a:ln w="22225" cap="flat">
            <a:solidFill>
              <a:srgbClr val="C39E6D">
                <a:alpha val="90000"/>
              </a:srgbClr>
            </a:solidFill>
            <a:prstDash val="sysDot"/>
            <a:round/>
          </a:ln>
          <a:effectLst/>
        </c:spPr>
        <c:marker>
          <c:symbol val="none"/>
        </c:marker>
      </c:pivotFmt>
      <c:pivotFmt>
        <c:idx val="37"/>
        <c:spPr>
          <a:solidFill>
            <a:schemeClr val="dk1">
              <a:tint val="88500"/>
            </a:schemeClr>
          </a:solidFill>
          <a:ln w="22225" cap="flat">
            <a:solidFill>
              <a:srgbClr val="C39E6D">
                <a:alpha val="90000"/>
              </a:srgbClr>
            </a:solidFill>
            <a:prstDash val="sysDot"/>
            <a:round/>
          </a:ln>
          <a:effectLst/>
        </c:spPr>
        <c:marker>
          <c:symbol val="none"/>
        </c:marker>
      </c:pivotFmt>
      <c:pivotFmt>
        <c:idx val="38"/>
        <c:spPr>
          <a:solidFill>
            <a:schemeClr val="dk1">
              <a:tint val="88500"/>
            </a:schemeClr>
          </a:solidFill>
          <a:ln w="22225" cap="flat">
            <a:solidFill>
              <a:srgbClr val="C39E6D">
                <a:alpha val="90000"/>
              </a:srgbClr>
            </a:solidFill>
            <a:prstDash val="sysDot"/>
            <a:round/>
          </a:ln>
          <a:effectLst/>
        </c:spPr>
        <c:marker>
          <c:symbol val="none"/>
        </c:marker>
      </c:pivotFmt>
      <c:pivotFmt>
        <c:idx val="39"/>
        <c:spPr>
          <a:solidFill>
            <a:schemeClr val="dk1">
              <a:tint val="88500"/>
            </a:schemeClr>
          </a:solidFill>
          <a:ln w="22225" cap="flat">
            <a:solidFill>
              <a:srgbClr val="C39E6D">
                <a:alpha val="90000"/>
              </a:srgbClr>
            </a:solidFill>
            <a:prstDash val="sysDot"/>
            <a:round/>
          </a:ln>
          <a:effectLst/>
        </c:spPr>
        <c:marker>
          <c:symbol val="none"/>
        </c:marker>
        <c:dLbl>
          <c:idx val="0"/>
          <c:layout>
            <c:manualLayout>
              <c:x val="-2.2367502628497585E-2"/>
              <c:y val="1.9447338791940921E-2"/>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a:t>xGD</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0"/>
        <c:spPr>
          <a:ln w="25400" cap="rnd">
            <a:solidFill>
              <a:sysClr val="windowText" lastClr="000000">
                <a:lumMod val="85000"/>
                <a:lumOff val="15000"/>
                <a:alpha val="90000"/>
              </a:sysClr>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defRPr sz="7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dk1">
              <a:tint val="88500"/>
            </a:schemeClr>
          </a:solidFill>
          <a:ln w="25400" cap="rnd">
            <a:solidFill>
              <a:sysClr val="windowText" lastClr="000000">
                <a:lumMod val="85000"/>
                <a:lumOff val="15000"/>
                <a:alpha val="90000"/>
              </a:sysClr>
            </a:solidFill>
            <a:round/>
          </a:ln>
          <a:effectLst/>
        </c:spPr>
        <c:marker>
          <c:symbol val="none"/>
        </c:marker>
      </c:pivotFmt>
      <c:pivotFmt>
        <c:idx val="42"/>
        <c:spPr>
          <a:solidFill>
            <a:schemeClr val="dk1">
              <a:tint val="88500"/>
            </a:schemeClr>
          </a:solidFill>
          <a:ln w="25400" cap="rnd">
            <a:solidFill>
              <a:sysClr val="windowText" lastClr="000000">
                <a:lumMod val="85000"/>
                <a:lumOff val="15000"/>
                <a:alpha val="90000"/>
              </a:sysClr>
            </a:solidFill>
            <a:round/>
          </a:ln>
          <a:effectLst/>
        </c:spPr>
        <c:marker>
          <c:symbol val="none"/>
        </c:marker>
        <c:dLbl>
          <c:idx val="0"/>
          <c:layout>
            <c:manualLayout>
              <c:x val="-0.10083942140629254"/>
              <c:y val="-4.5161826537956154E-2"/>
            </c:manualLayout>
          </c:layout>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sz="600"/>
                  <a:t>2019 - MVP Season</a:t>
                </a:r>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3"/>
        <c:spPr>
          <a:solidFill>
            <a:schemeClr val="dk1">
              <a:tint val="88500"/>
            </a:schemeClr>
          </a:solidFill>
          <a:ln w="25400" cap="rnd">
            <a:solidFill>
              <a:sysClr val="windowText" lastClr="000000">
                <a:lumMod val="85000"/>
                <a:lumOff val="15000"/>
                <a:alpha val="90000"/>
              </a:sys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0858114174397325"/>
                  <c:h val="9.8833801668998175E-2"/>
                </c:manualLayout>
              </c15:layout>
            </c:ext>
          </c:extLst>
        </c:dLbl>
      </c:pivotFmt>
      <c:pivotFmt>
        <c:idx val="44"/>
        <c:spPr>
          <a:solidFill>
            <a:schemeClr val="dk1">
              <a:tint val="88500"/>
            </a:schemeClr>
          </a:solidFill>
          <a:ln w="25400" cap="rnd">
            <a:solidFill>
              <a:sysClr val="windowText" lastClr="000000">
                <a:lumMod val="85000"/>
                <a:lumOff val="15000"/>
                <a:alpha val="90000"/>
              </a:sysClr>
            </a:solidFill>
            <a:round/>
          </a:ln>
          <a:effectLst/>
        </c:spPr>
        <c:marker>
          <c:symbol val="none"/>
        </c:marker>
        <c:dLbl>
          <c:idx val="0"/>
          <c:layout>
            <c:manualLayout>
              <c:x val="-0.11189589808395095"/>
              <c:y val="7.0392990231970917E-2"/>
            </c:manualLayout>
          </c:layout>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sz="600" b="0" i="0">
                    <a:latin typeface="Inter Variable Text Light" panose="02000503000000020004" pitchFamily="2" charset="0"/>
                    <a:ea typeface="Inter Variable Text Light" panose="02000503000000020004" pitchFamily="2" charset="0"/>
                    <a:cs typeface="Inter Variable Text Light" panose="02000503000000020004" pitchFamily="2" charset="0"/>
                  </a:rPr>
                  <a:t>2021</a:t>
                </a:r>
                <a:r>
                  <a:rPr lang="en-US" sz="600" b="0" i="0" baseline="0">
                    <a:latin typeface="Inter Variable Text Light" panose="02000503000000020004" pitchFamily="2" charset="0"/>
                    <a:ea typeface="Inter Variable Text Light" panose="02000503000000020004" pitchFamily="2" charset="0"/>
                    <a:cs typeface="Inter Variable Text Light" panose="02000503000000020004" pitchFamily="2" charset="0"/>
                  </a:rPr>
                  <a:t> - Largest Gap vs Expected Performance</a:t>
                </a:r>
                <a:endParaRPr lang="en-US" sz="600" b="0" i="0">
                  <a:latin typeface="Inter Variable Text Light" panose="02000503000000020004" pitchFamily="2" charset="0"/>
                  <a:ea typeface="Inter Variable Text Light" panose="02000503000000020004" pitchFamily="2" charset="0"/>
                  <a:cs typeface="Inter Variable Text Light" panose="02000503000000020004" pitchFamily="2" charset="0"/>
                </a:endParaRPr>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5"/>
        <c:spPr>
          <a:solidFill>
            <a:schemeClr val="dk1">
              <a:tint val="88500"/>
            </a:schemeClr>
          </a:solidFill>
          <a:ln w="25400" cap="rnd">
            <a:solidFill>
              <a:sysClr val="windowText" lastClr="000000">
                <a:lumMod val="85000"/>
                <a:lumOff val="15000"/>
                <a:alpha val="90000"/>
              </a:sysClr>
            </a:solidFill>
            <a:round/>
          </a:ln>
          <a:effectLst/>
        </c:spPr>
        <c:marker>
          <c:symbol val="none"/>
        </c:marker>
        <c:dLbl>
          <c:idx val="0"/>
          <c:layout>
            <c:manualLayout>
              <c:x val="-8.6194993879792736E-2"/>
              <c:y val="-5.7501589635393396E-2"/>
            </c:manualLayout>
          </c:layout>
          <c:tx>
            <c:rich>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sz="600"/>
                  <a:t>2022 - MLS</a:t>
                </a:r>
                <a:r>
                  <a:rPr lang="en-US" sz="600" baseline="0"/>
                  <a:t> Cup Champions</a:t>
                </a:r>
                <a:endParaRPr lang="en-US" sz="600"/>
              </a:p>
            </c:rich>
          </c:tx>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6"/>
        <c:spPr>
          <a:solidFill>
            <a:schemeClr val="dk1">
              <a:tint val="88500"/>
            </a:schemeClr>
          </a:solidFill>
          <a:ln w="25400" cap="rnd">
            <a:solidFill>
              <a:sysClr val="windowText" lastClr="000000">
                <a:lumMod val="85000"/>
                <a:lumOff val="15000"/>
                <a:alpha val="90000"/>
              </a:sysClr>
            </a:solidFill>
            <a:round/>
          </a:ln>
          <a:effectLst/>
        </c:spPr>
        <c:marker>
          <c:symbol val="none"/>
        </c:marker>
        <c:dLbl>
          <c:idx val="0"/>
          <c:layout>
            <c:manualLayout>
              <c:x val="-1.3974771698730439E-2"/>
              <c:y val="-1.5109406335366777E-4"/>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a:t>GD</a:t>
                </a:r>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7"/>
        <c:spPr>
          <a:ln w="3175" cap="rnd">
            <a:solidFill>
              <a:srgbClr val="E8E8E8">
                <a:lumMod val="75000"/>
              </a:srgbClr>
            </a:solidFill>
            <a:prstDash val="dash"/>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5400" cap="rnd">
            <a:solidFill>
              <a:sysClr val="windowText" lastClr="000000">
                <a:lumMod val="85000"/>
                <a:lumOff val="15000"/>
                <a:alpha val="90000"/>
              </a:sysClr>
            </a:solidFill>
            <a:round/>
          </a:ln>
          <a:effectLst/>
        </c:spPr>
        <c:marker>
          <c:symbol val="none"/>
        </c:marker>
        <c:dLbl>
          <c:idx val="0"/>
          <c:layout>
            <c:manualLayout>
              <c:x val="-6.7882714815457323E-2"/>
              <c:y val="-3.2265980038185871E-2"/>
            </c:manualLayout>
          </c:layout>
          <c:tx>
            <c:rich>
              <a:bodyPr rot="0" spcFirstLastPara="1" vertOverflow="ellipsis" vert="horz" wrap="square" lIns="38100" tIns="19050" rIns="38100" bIns="19050" anchor="ctr" anchorCtr="0">
                <a:spAutoFit/>
              </a:bodyPr>
              <a:lstStyle/>
              <a:p>
                <a:pPr>
                  <a:defRPr sz="600" b="0" i="0" u="none" strike="noStrike" kern="1200" baseline="0">
                    <a:solidFill>
                      <a:schemeClr val="tx1">
                        <a:lumMod val="75000"/>
                        <a:lumOff val="2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r>
                  <a:rPr lang="en-US" sz="600" b="0" i="0">
                    <a:latin typeface="Inter Variable Text" panose="02000503000000020004" pitchFamily="2" charset="0"/>
                    <a:ea typeface="Inter Variable Text" panose="02000503000000020004" pitchFamily="2" charset="0"/>
                    <a:cs typeface="Inter Variable Text" panose="02000503000000020004" pitchFamily="2" charset="0"/>
                  </a:rPr>
                  <a:t>MVP</a:t>
                </a:r>
                <a:r>
                  <a:rPr lang="en-US" sz="600" b="0" i="0" baseline="0">
                    <a:latin typeface="Inter Variable Text" panose="02000503000000020004" pitchFamily="2" charset="0"/>
                    <a:ea typeface="Inter Variable Text" panose="02000503000000020004" pitchFamily="2" charset="0"/>
                    <a:cs typeface="Inter Variable Text" panose="02000503000000020004" pitchFamily="2" charset="0"/>
                  </a:rPr>
                  <a:t> Season</a:t>
                </a:r>
                <a:endParaRPr lang="en-US" sz="600" b="0" i="0">
                  <a:latin typeface="Inter Variable Text" panose="02000503000000020004" pitchFamily="2" charset="0"/>
                  <a:ea typeface="Inter Variable Text" panose="02000503000000020004" pitchFamily="2" charset="0"/>
                  <a:cs typeface="Inter Variable Text" panose="02000503000000020004" pitchFamily="2" charset="0"/>
                </a:endParaRPr>
              </a:p>
            </c:rich>
          </c:tx>
          <c:spPr>
            <a:noFill/>
            <a:ln>
              <a:noFill/>
            </a:ln>
            <a:effectLst/>
          </c:spPr>
          <c:txPr>
            <a:bodyPr rot="0" spcFirstLastPara="1" vertOverflow="ellipsis" vert="horz" wrap="square" lIns="38100" tIns="19050" rIns="38100" bIns="19050" anchor="ctr" anchorCtr="0">
              <a:spAutoFit/>
            </a:bodyPr>
            <a:lstStyle/>
            <a:p>
              <a:pPr>
                <a:defRPr sz="600" b="0" i="0" u="none" strike="noStrike" kern="1200" baseline="0">
                  <a:solidFill>
                    <a:schemeClr val="tx1">
                      <a:lumMod val="75000"/>
                      <a:lumOff val="2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9"/>
        <c:spPr>
          <a:ln w="25400" cap="rnd">
            <a:solidFill>
              <a:sysClr val="windowText" lastClr="000000">
                <a:lumMod val="85000"/>
                <a:lumOff val="15000"/>
                <a:alpha val="90000"/>
              </a:sysClr>
            </a:solidFill>
            <a:round/>
          </a:ln>
          <a:effectLst/>
        </c:spPr>
        <c:marker>
          <c:symbol val="none"/>
        </c:marker>
        <c:dLbl>
          <c:idx val="0"/>
          <c:layout>
            <c:manualLayout>
              <c:x val="-0.19580428967698135"/>
              <c:y val="-0.1132176893655058"/>
            </c:manualLayout>
          </c:layout>
          <c:tx>
            <c:rich>
              <a:bodyPr rot="0" spcFirstLastPara="1" vertOverflow="ellipsis" vert="horz" wrap="square" lIns="38100" tIns="19050" rIns="38100" bIns="19050" anchor="ctr" anchorCtr="0">
                <a:noAutofit/>
              </a:bodyPr>
              <a:lstStyle/>
              <a:p>
                <a:pPr>
                  <a:defRPr sz="600" b="0" i="0" u="none" strike="noStrike" kern="1200" baseline="0">
                    <a:solidFill>
                      <a:schemeClr val="tx1">
                        <a:lumMod val="75000"/>
                        <a:lumOff val="2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r>
                  <a:rPr lang="en-US" sz="600" b="0" i="0">
                    <a:latin typeface="Inter Variable Text" panose="02000503000000020004" pitchFamily="2" charset="0"/>
                    <a:ea typeface="Inter Variable Text" panose="02000503000000020004" pitchFamily="2" charset="0"/>
                    <a:cs typeface="Inter Variable Text" panose="02000503000000020004" pitchFamily="2" charset="0"/>
                  </a:rPr>
                  <a:t>Largest Gap vs</a:t>
                </a:r>
                <a:r>
                  <a:rPr lang="en-US" sz="600" b="0" i="0" baseline="0">
                    <a:latin typeface="Inter Variable Text" panose="02000503000000020004" pitchFamily="2" charset="0"/>
                    <a:ea typeface="Inter Variable Text" panose="02000503000000020004" pitchFamily="2" charset="0"/>
                    <a:cs typeface="Inter Variable Text" panose="02000503000000020004" pitchFamily="2" charset="0"/>
                  </a:rPr>
                  <a:t> Expected Performance</a:t>
                </a:r>
                <a:endParaRPr lang="en-US" sz="600" b="0" i="0">
                  <a:latin typeface="Inter Variable Text" panose="02000503000000020004" pitchFamily="2" charset="0"/>
                  <a:ea typeface="Inter Variable Text" panose="02000503000000020004" pitchFamily="2" charset="0"/>
                  <a:cs typeface="Inter Variable Text" panose="02000503000000020004" pitchFamily="2" charset="0"/>
                </a:endParaRPr>
              </a:p>
            </c:rich>
          </c:tx>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tx1">
                      <a:lumMod val="75000"/>
                      <a:lumOff val="2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6022316531199902"/>
                  <c:h val="0.12904266319719845"/>
                </c:manualLayout>
              </c15:layout>
              <c15:showDataLabelsRange val="0"/>
            </c:ext>
          </c:extLst>
        </c:dLbl>
      </c:pivotFmt>
      <c:pivotFmt>
        <c:idx val="50"/>
        <c:spPr>
          <a:ln w="25400" cap="rnd">
            <a:solidFill>
              <a:sysClr val="windowText" lastClr="000000">
                <a:lumMod val="85000"/>
                <a:lumOff val="15000"/>
                <a:alpha val="90000"/>
              </a:sysClr>
            </a:solidFill>
            <a:round/>
          </a:ln>
          <a:effectLst/>
        </c:spPr>
        <c:marker>
          <c:symbol val="none"/>
        </c:marker>
        <c:dLbl>
          <c:idx val="0"/>
          <c:layout>
            <c:manualLayout>
              <c:x val="-8.6812615633621609E-2"/>
              <c:y val="-5.167961774658162E-2"/>
            </c:manualLayout>
          </c:layout>
          <c:tx>
            <c:rich>
              <a:bodyPr rot="0" spcFirstLastPara="1" vertOverflow="ellipsis" vert="horz" wrap="square" lIns="38100" tIns="19050" rIns="38100" bIns="19050" anchor="ctr" anchorCtr="0">
                <a:noAutofit/>
              </a:bodyPr>
              <a:lstStyle/>
              <a:p>
                <a:pPr>
                  <a:defRPr sz="600" b="0" i="0" u="none" strike="noStrike" kern="1200" baseline="0">
                    <a:solidFill>
                      <a:schemeClr val="tx1">
                        <a:lumMod val="75000"/>
                        <a:lumOff val="2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r>
                  <a:rPr lang="en-US" sz="600" b="0" i="0">
                    <a:latin typeface="Inter Variable Text" panose="02000503000000020004" pitchFamily="2" charset="0"/>
                    <a:ea typeface="Inter Variable Text" panose="02000503000000020004" pitchFamily="2" charset="0"/>
                    <a:cs typeface="Inter Variable Text" panose="02000503000000020004" pitchFamily="2" charset="0"/>
                  </a:rPr>
                  <a:t>MLS Cup</a:t>
                </a:r>
                <a:r>
                  <a:rPr lang="en-US" sz="600" b="0" i="0" baseline="0">
                    <a:latin typeface="Inter Variable Text" panose="02000503000000020004" pitchFamily="2" charset="0"/>
                    <a:ea typeface="Inter Variable Text" panose="02000503000000020004" pitchFamily="2" charset="0"/>
                    <a:cs typeface="Inter Variable Text" panose="02000503000000020004" pitchFamily="2" charset="0"/>
                  </a:rPr>
                  <a:t> Champions</a:t>
                </a:r>
                <a:endParaRPr lang="en-US" sz="600" b="0" i="0">
                  <a:latin typeface="Inter Variable Text" panose="02000503000000020004" pitchFamily="2" charset="0"/>
                  <a:ea typeface="Inter Variable Text" panose="02000503000000020004" pitchFamily="2" charset="0"/>
                  <a:cs typeface="Inter Variable Text" panose="02000503000000020004" pitchFamily="2" charset="0"/>
                </a:endParaRPr>
              </a:p>
            </c:rich>
          </c:tx>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tx1">
                      <a:lumMod val="75000"/>
                      <a:lumOff val="2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846234251592341"/>
                  <c:h val="8.942663084320801E-2"/>
                </c:manualLayout>
              </c15:layout>
              <c15:showDataLabelsRange val="0"/>
            </c:ext>
          </c:extLst>
        </c:dLbl>
      </c:pivotFmt>
      <c:pivotFmt>
        <c:idx val="51"/>
        <c:spPr>
          <a:ln w="25400" cap="rnd">
            <a:solidFill>
              <a:sysClr val="windowText" lastClr="000000">
                <a:lumMod val="85000"/>
                <a:lumOff val="15000"/>
                <a:alpha val="90000"/>
              </a:sysClr>
            </a:solidFill>
            <a:round/>
          </a:ln>
          <a:effectLst/>
        </c:spPr>
        <c:marker>
          <c:symbol val="none"/>
        </c:marker>
        <c:dLbl>
          <c:idx val="0"/>
          <c:layout>
            <c:manualLayout>
              <c:x val="-1.3975101951318741E-2"/>
              <c:y val="9.4879505405151398E-3"/>
            </c:manualLayout>
          </c:layout>
          <c:tx>
            <c:rich>
              <a:bodyPr rot="0" spcFirstLastPara="1" vertOverflow="ellipsis" vert="horz" wrap="square" lIns="38100" tIns="19050" rIns="38100" bIns="19050" anchor="ctr" anchorCtr="0">
                <a:spAutoFit/>
              </a:bodyPr>
              <a:lstStyle/>
              <a:p>
                <a:pPr>
                  <a:defRPr sz="7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sz="700" b="0" i="0">
                    <a:latin typeface="Inter Variable Text Light" panose="02000503000000020004" pitchFamily="2" charset="0"/>
                    <a:ea typeface="Inter Variable Text Light" panose="02000503000000020004" pitchFamily="2" charset="0"/>
                    <a:cs typeface="Inter Variable Text Light" panose="02000503000000020004" pitchFamily="2" charset="0"/>
                  </a:rPr>
                  <a:t>GD</a:t>
                </a:r>
              </a:p>
            </c:rich>
          </c:tx>
          <c:spPr>
            <a:noFill/>
            <a:ln>
              <a:noFill/>
            </a:ln>
            <a:effectLst/>
          </c:spPr>
          <c:txPr>
            <a:bodyPr rot="0" spcFirstLastPara="1" vertOverflow="ellipsis" vert="horz" wrap="square" lIns="38100" tIns="19050" rIns="38100" bIns="19050" anchor="ctr" anchorCtr="0">
              <a:spAutoFit/>
            </a:bodyPr>
            <a:lstStyle/>
            <a:p>
              <a:pPr>
                <a:defRPr sz="7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2"/>
        <c:spPr>
          <a:ln w="22225" cap="flat">
            <a:solidFill>
              <a:srgbClr val="C39E6D">
                <a:alpha val="90000"/>
              </a:srgbClr>
            </a:solidFill>
            <a:prstDash val="sysDot"/>
            <a:round/>
          </a:ln>
          <a:effectLst/>
        </c:spPr>
        <c:marker>
          <c:symbol val="none"/>
        </c:marker>
        <c:dLbl>
          <c:idx val="0"/>
          <c:layout>
            <c:manualLayout>
              <c:x val="-2.2358343061926772E-2"/>
              <c:y val="2.3720113124394537E-2"/>
            </c:manualLayout>
          </c:layout>
          <c:tx>
            <c:rich>
              <a:bodyPr rot="0" spcFirstLastPara="1" vertOverflow="ellipsis" vert="horz" wrap="square" lIns="38100" tIns="19050" rIns="38100" bIns="19050" anchor="ctr" anchorCtr="1">
                <a:spAutoFit/>
              </a:bodyPr>
              <a:lstStyle/>
              <a:p>
                <a:pPr>
                  <a:defRPr sz="700" b="0" i="0" u="none" strike="noStrike" kern="1200" baseline="0">
                    <a:solidFill>
                      <a:srgbClr val="C39E6D"/>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sz="700" b="0" i="0">
                    <a:solidFill>
                      <a:srgbClr val="C39E6D"/>
                    </a:solidFill>
                    <a:latin typeface="Inter Variable Text Light" panose="02000503000000020004" pitchFamily="2" charset="0"/>
                    <a:ea typeface="Inter Variable Text Light" panose="02000503000000020004" pitchFamily="2" charset="0"/>
                    <a:cs typeface="Inter Variable Text Light" panose="02000503000000020004" pitchFamily="2" charset="0"/>
                  </a:rPr>
                  <a:t>xGD</a:t>
                </a:r>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39E6D"/>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3"/>
        <c:spPr>
          <a:ln w="22225" cap="flat">
            <a:solidFill>
              <a:srgbClr val="C39E6D">
                <a:alpha val="90000"/>
              </a:srgbClr>
            </a:solidFill>
            <a:prstDash val="sysDot"/>
            <a:round/>
          </a:ln>
          <a:effectLst/>
        </c:spPr>
        <c:marker>
          <c:symbol val="none"/>
        </c:marker>
      </c:pivotFmt>
      <c:pivotFmt>
        <c:idx val="54"/>
        <c:spPr>
          <a:ln w="22225" cap="flat">
            <a:solidFill>
              <a:srgbClr val="C39E6D">
                <a:alpha val="90000"/>
              </a:srgbClr>
            </a:solidFill>
            <a:prstDash val="sysDot"/>
            <a:round/>
          </a:ln>
          <a:effectLst/>
        </c:spPr>
        <c:marker>
          <c:symbol val="none"/>
        </c:marker>
      </c:pivotFmt>
      <c:pivotFmt>
        <c:idx val="55"/>
        <c:spPr>
          <a:ln w="22225" cap="flat">
            <a:solidFill>
              <a:srgbClr val="C39E6D">
                <a:alpha val="90000"/>
              </a:srgbClr>
            </a:solidFill>
            <a:prstDash val="sysDot"/>
            <a:round/>
          </a:ln>
          <a:effectLst/>
        </c:spPr>
        <c:marker>
          <c:symbol val="none"/>
        </c:marker>
      </c:pivotFmt>
      <c:pivotFmt>
        <c:idx val="56"/>
        <c:spPr>
          <a:ln w="22225" cap="flat">
            <a:solidFill>
              <a:srgbClr val="C39E6D">
                <a:alpha val="90000"/>
              </a:srgbClr>
            </a:solidFill>
            <a:prstDash val="sysDot"/>
            <a:round/>
          </a:ln>
          <a:effectLst/>
        </c:spPr>
        <c:marker>
          <c:symbol val="none"/>
        </c:marker>
      </c:pivotFmt>
      <c:pivotFmt>
        <c:idx val="57"/>
        <c:spPr>
          <a:ln w="22225" cap="flat">
            <a:solidFill>
              <a:srgbClr val="C39E6D">
                <a:alpha val="90000"/>
              </a:srgbClr>
            </a:solidFill>
            <a:prstDash val="sysDot"/>
            <a:round/>
          </a:ln>
          <a:effectLst/>
        </c:spPr>
        <c:marker>
          <c:symbol val="none"/>
        </c:marker>
      </c:pivotFmt>
      <c:pivotFmt>
        <c:idx val="58"/>
        <c:spPr>
          <a:ln w="25400" cap="rnd">
            <a:solidFill>
              <a:sysClr val="windowText" lastClr="000000">
                <a:lumMod val="85000"/>
                <a:lumOff val="15000"/>
                <a:alpha val="90000"/>
              </a:sysClr>
            </a:solidFill>
            <a:round/>
          </a:ln>
          <a:effectLst/>
        </c:spPr>
        <c:marker>
          <c:symbol val="none"/>
        </c:marker>
      </c:pivotFmt>
      <c:pivotFmt>
        <c:idx val="59"/>
        <c:spPr>
          <a:ln w="25400" cap="rnd">
            <a:solidFill>
              <a:sysClr val="windowText" lastClr="000000">
                <a:lumMod val="85000"/>
                <a:lumOff val="15000"/>
                <a:alpha val="90000"/>
              </a:sysClr>
            </a:solidFill>
            <a:round/>
          </a:ln>
          <a:effectLst/>
        </c:spPr>
        <c:marker>
          <c:symbol val="none"/>
        </c:marker>
      </c:pivotFmt>
    </c:pivotFmts>
    <c:plotArea>
      <c:layout>
        <c:manualLayout>
          <c:layoutTarget val="inner"/>
          <c:xMode val="edge"/>
          <c:yMode val="edge"/>
          <c:x val="0.11925062505889515"/>
          <c:y val="0.13872291655618213"/>
          <c:w val="0.796642643721584"/>
          <c:h val="0.71755826455827254"/>
        </c:manualLayout>
      </c:layout>
      <c:lineChart>
        <c:grouping val="standard"/>
        <c:varyColors val="0"/>
        <c:ser>
          <c:idx val="0"/>
          <c:order val="0"/>
          <c:tx>
            <c:strRef>
              <c:f>Final_Visualization_PivotTables!$B$50</c:f>
              <c:strCache>
                <c:ptCount val="1"/>
                <c:pt idx="0">
                  <c:v>Average of xGD</c:v>
                </c:pt>
              </c:strCache>
            </c:strRef>
          </c:tx>
          <c:spPr>
            <a:ln w="22225" cap="flat">
              <a:solidFill>
                <a:srgbClr val="C39E6D">
                  <a:alpha val="90000"/>
                </a:srgbClr>
              </a:solidFill>
              <a:prstDash val="sysDot"/>
              <a:round/>
            </a:ln>
            <a:effectLst/>
          </c:spPr>
          <c:marker>
            <c:symbol val="none"/>
          </c:marker>
          <c:dPt>
            <c:idx val="0"/>
            <c:marker>
              <c:symbol val="none"/>
            </c:marker>
            <c:bubble3D val="0"/>
            <c:extLst>
              <c:ext xmlns:c16="http://schemas.microsoft.com/office/drawing/2014/chart" uri="{C3380CC4-5D6E-409C-BE32-E72D297353CC}">
                <c16:uniqueId val="{00000000-507B-4B44-B05B-0F4660DA3AA5}"/>
              </c:ext>
            </c:extLst>
          </c:dPt>
          <c:dPt>
            <c:idx val="1"/>
            <c:marker>
              <c:symbol val="none"/>
            </c:marker>
            <c:bubble3D val="0"/>
            <c:extLst>
              <c:ext xmlns:c16="http://schemas.microsoft.com/office/drawing/2014/chart" uri="{C3380CC4-5D6E-409C-BE32-E72D297353CC}">
                <c16:uniqueId val="{00000001-507B-4B44-B05B-0F4660DA3AA5}"/>
              </c:ext>
            </c:extLst>
          </c:dPt>
          <c:dPt>
            <c:idx val="2"/>
            <c:marker>
              <c:symbol val="none"/>
            </c:marker>
            <c:bubble3D val="0"/>
            <c:extLst>
              <c:ext xmlns:c16="http://schemas.microsoft.com/office/drawing/2014/chart" uri="{C3380CC4-5D6E-409C-BE32-E72D297353CC}">
                <c16:uniqueId val="{00000002-507B-4B44-B05B-0F4660DA3AA5}"/>
              </c:ext>
            </c:extLst>
          </c:dPt>
          <c:dPt>
            <c:idx val="3"/>
            <c:marker>
              <c:symbol val="none"/>
            </c:marker>
            <c:bubble3D val="0"/>
            <c:extLst>
              <c:ext xmlns:c16="http://schemas.microsoft.com/office/drawing/2014/chart" uri="{C3380CC4-5D6E-409C-BE32-E72D297353CC}">
                <c16:uniqueId val="{00000003-507B-4B44-B05B-0F4660DA3AA5}"/>
              </c:ext>
            </c:extLst>
          </c:dPt>
          <c:dPt>
            <c:idx val="4"/>
            <c:marker>
              <c:symbol val="none"/>
            </c:marker>
            <c:bubble3D val="0"/>
            <c:extLst>
              <c:ext xmlns:c16="http://schemas.microsoft.com/office/drawing/2014/chart" uri="{C3380CC4-5D6E-409C-BE32-E72D297353CC}">
                <c16:uniqueId val="{00000004-507B-4B44-B05B-0F4660DA3AA5}"/>
              </c:ext>
            </c:extLst>
          </c:dPt>
          <c:dPt>
            <c:idx val="5"/>
            <c:marker>
              <c:symbol val="none"/>
            </c:marker>
            <c:bubble3D val="0"/>
            <c:extLst>
              <c:ext xmlns:c16="http://schemas.microsoft.com/office/drawing/2014/chart" uri="{C3380CC4-5D6E-409C-BE32-E72D297353CC}">
                <c16:uniqueId val="{00000005-507B-4B44-B05B-0F4660DA3AA5}"/>
              </c:ext>
            </c:extLst>
          </c:dPt>
          <c:dLbls>
            <c:dLbl>
              <c:idx val="5"/>
              <c:layout>
                <c:manualLayout>
                  <c:x val="-2.2358343061926772E-2"/>
                  <c:y val="2.3720113124394537E-2"/>
                </c:manualLayout>
              </c:layout>
              <c:tx>
                <c:rich>
                  <a:bodyPr rot="0" spcFirstLastPara="1" vertOverflow="ellipsis" vert="horz" wrap="square" lIns="38100" tIns="19050" rIns="38100" bIns="19050" anchor="ctr" anchorCtr="1">
                    <a:spAutoFit/>
                  </a:bodyPr>
                  <a:lstStyle/>
                  <a:p>
                    <a:pPr>
                      <a:defRPr sz="700" b="0" i="0" u="none" strike="noStrike" kern="1200" baseline="0">
                        <a:solidFill>
                          <a:srgbClr val="C39E6D"/>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sz="700" b="0" i="0">
                        <a:solidFill>
                          <a:srgbClr val="C39E6D"/>
                        </a:solidFill>
                        <a:latin typeface="Inter Variable Text Light" panose="02000503000000020004" pitchFamily="2" charset="0"/>
                        <a:ea typeface="Inter Variable Text Light" panose="02000503000000020004" pitchFamily="2" charset="0"/>
                        <a:cs typeface="Inter Variable Text Light" panose="02000503000000020004" pitchFamily="2" charset="0"/>
                      </a:rPr>
                      <a:t>xGD</a:t>
                    </a:r>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rgbClr val="C39E6D"/>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507B-4B44-B05B-0F4660DA3AA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C39E6D"/>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Final_Visualization_PivotTables!$A$51:$A$56</c:f>
              <c:strCache>
                <c:ptCount val="6"/>
                <c:pt idx="0">
                  <c:v>'18</c:v>
                </c:pt>
                <c:pt idx="1">
                  <c:v>'19</c:v>
                </c:pt>
                <c:pt idx="2">
                  <c:v>'20</c:v>
                </c:pt>
                <c:pt idx="3">
                  <c:v>'21</c:v>
                </c:pt>
                <c:pt idx="4">
                  <c:v>'22</c:v>
                </c:pt>
                <c:pt idx="5">
                  <c:v>'23</c:v>
                </c:pt>
              </c:strCache>
            </c:strRef>
          </c:cat>
          <c:val>
            <c:numRef>
              <c:f>Final_Visualization_PivotTables!$B$51:$B$56</c:f>
              <c:numCache>
                <c:formatCode>0.00</c:formatCode>
                <c:ptCount val="6"/>
                <c:pt idx="0">
                  <c:v>0.36857142857142861</c:v>
                </c:pt>
                <c:pt idx="1">
                  <c:v>1.1500000000000001</c:v>
                </c:pt>
                <c:pt idx="2">
                  <c:v>0.52173913043478248</c:v>
                </c:pt>
                <c:pt idx="3">
                  <c:v>0.61764705882352944</c:v>
                </c:pt>
                <c:pt idx="4">
                  <c:v>0.83783783783783783</c:v>
                </c:pt>
                <c:pt idx="5">
                  <c:v>0.45897435897435895</c:v>
                </c:pt>
              </c:numCache>
            </c:numRef>
          </c:val>
          <c:smooth val="0"/>
          <c:extLst>
            <c:ext xmlns:c16="http://schemas.microsoft.com/office/drawing/2014/chart" uri="{C3380CC4-5D6E-409C-BE32-E72D297353CC}">
              <c16:uniqueId val="{00000006-507B-4B44-B05B-0F4660DA3AA5}"/>
            </c:ext>
          </c:extLst>
        </c:ser>
        <c:ser>
          <c:idx val="1"/>
          <c:order val="1"/>
          <c:tx>
            <c:strRef>
              <c:f>Final_Visualization_PivotTables!$C$50</c:f>
              <c:strCache>
                <c:ptCount val="1"/>
                <c:pt idx="0">
                  <c:v>Average of GD</c:v>
                </c:pt>
              </c:strCache>
            </c:strRef>
          </c:tx>
          <c:spPr>
            <a:ln w="25400" cap="rnd">
              <a:solidFill>
                <a:sysClr val="windowText" lastClr="000000">
                  <a:lumMod val="85000"/>
                  <a:lumOff val="15000"/>
                  <a:alpha val="90000"/>
                </a:sysClr>
              </a:solidFill>
              <a:round/>
            </a:ln>
            <a:effectLst/>
          </c:spPr>
          <c:marker>
            <c:symbol val="none"/>
          </c:marker>
          <c:dPt>
            <c:idx val="0"/>
            <c:marker>
              <c:symbol val="none"/>
            </c:marker>
            <c:bubble3D val="0"/>
            <c:extLst>
              <c:ext xmlns:c16="http://schemas.microsoft.com/office/drawing/2014/chart" uri="{C3380CC4-5D6E-409C-BE32-E72D297353CC}">
                <c16:uniqueId val="{00000007-507B-4B44-B05B-0F4660DA3AA5}"/>
              </c:ext>
            </c:extLst>
          </c:dPt>
          <c:dPt>
            <c:idx val="1"/>
            <c:marker>
              <c:symbol val="none"/>
            </c:marker>
            <c:bubble3D val="0"/>
            <c:spPr>
              <a:ln w="25400" cap="rnd">
                <a:solidFill>
                  <a:sysClr val="windowText" lastClr="000000">
                    <a:lumMod val="85000"/>
                    <a:lumOff val="15000"/>
                    <a:alpha val="90000"/>
                  </a:sysClr>
                </a:solidFill>
                <a:round/>
              </a:ln>
              <a:effectLst/>
            </c:spPr>
            <c:extLst>
              <c:ext xmlns:c16="http://schemas.microsoft.com/office/drawing/2014/chart" uri="{C3380CC4-5D6E-409C-BE32-E72D297353CC}">
                <c16:uniqueId val="{00000008-507B-4B44-B05B-0F4660DA3AA5}"/>
              </c:ext>
            </c:extLst>
          </c:dPt>
          <c:dPt>
            <c:idx val="2"/>
            <c:marker>
              <c:symbol val="none"/>
            </c:marker>
            <c:bubble3D val="0"/>
            <c:extLst>
              <c:ext xmlns:c16="http://schemas.microsoft.com/office/drawing/2014/chart" uri="{C3380CC4-5D6E-409C-BE32-E72D297353CC}">
                <c16:uniqueId val="{00000009-507B-4B44-B05B-0F4660DA3AA5}"/>
              </c:ext>
            </c:extLst>
          </c:dPt>
          <c:dPt>
            <c:idx val="3"/>
            <c:marker>
              <c:symbol val="none"/>
            </c:marker>
            <c:bubble3D val="0"/>
            <c:spPr>
              <a:ln w="25400" cap="rnd">
                <a:solidFill>
                  <a:sysClr val="windowText" lastClr="000000">
                    <a:lumMod val="85000"/>
                    <a:lumOff val="15000"/>
                    <a:alpha val="90000"/>
                  </a:sysClr>
                </a:solidFill>
                <a:round/>
              </a:ln>
              <a:effectLst/>
            </c:spPr>
            <c:extLst>
              <c:ext xmlns:c16="http://schemas.microsoft.com/office/drawing/2014/chart" uri="{C3380CC4-5D6E-409C-BE32-E72D297353CC}">
                <c16:uniqueId val="{0000000A-507B-4B44-B05B-0F4660DA3AA5}"/>
              </c:ext>
            </c:extLst>
          </c:dPt>
          <c:dPt>
            <c:idx val="4"/>
            <c:marker>
              <c:symbol val="none"/>
            </c:marker>
            <c:bubble3D val="0"/>
            <c:spPr>
              <a:ln w="25400" cap="rnd">
                <a:solidFill>
                  <a:sysClr val="windowText" lastClr="000000">
                    <a:lumMod val="85000"/>
                    <a:lumOff val="15000"/>
                    <a:alpha val="90000"/>
                  </a:sysClr>
                </a:solidFill>
                <a:round/>
              </a:ln>
              <a:effectLst/>
            </c:spPr>
            <c:extLst>
              <c:ext xmlns:c16="http://schemas.microsoft.com/office/drawing/2014/chart" uri="{C3380CC4-5D6E-409C-BE32-E72D297353CC}">
                <c16:uniqueId val="{0000000B-507B-4B44-B05B-0F4660DA3AA5}"/>
              </c:ext>
            </c:extLst>
          </c:dPt>
          <c:dPt>
            <c:idx val="5"/>
            <c:marker>
              <c:symbol val="none"/>
            </c:marker>
            <c:bubble3D val="0"/>
            <c:spPr>
              <a:ln w="25400" cap="rnd">
                <a:solidFill>
                  <a:sysClr val="windowText" lastClr="000000">
                    <a:lumMod val="85000"/>
                    <a:lumOff val="15000"/>
                    <a:alpha val="90000"/>
                  </a:sysClr>
                </a:solidFill>
                <a:round/>
              </a:ln>
              <a:effectLst/>
            </c:spPr>
            <c:extLst>
              <c:ext xmlns:c16="http://schemas.microsoft.com/office/drawing/2014/chart" uri="{C3380CC4-5D6E-409C-BE32-E72D297353CC}">
                <c16:uniqueId val="{0000000C-507B-4B44-B05B-0F4660DA3AA5}"/>
              </c:ext>
            </c:extLst>
          </c:dPt>
          <c:dLbls>
            <c:dLbl>
              <c:idx val="1"/>
              <c:layout>
                <c:manualLayout>
                  <c:x val="-6.7882714815457323E-2"/>
                  <c:y val="-3.2265980038185871E-2"/>
                </c:manualLayout>
              </c:layout>
              <c:tx>
                <c:rich>
                  <a:bodyPr rot="0" spcFirstLastPara="1" vertOverflow="ellipsis" vert="horz" wrap="square" lIns="38100" tIns="19050" rIns="38100" bIns="19050" anchor="ctr" anchorCtr="0">
                    <a:spAutoFit/>
                  </a:bodyPr>
                  <a:lstStyle/>
                  <a:p>
                    <a:pPr>
                      <a:defRPr sz="600" b="0" i="0" u="none" strike="noStrike" kern="1200" baseline="0">
                        <a:solidFill>
                          <a:schemeClr val="tx1">
                            <a:lumMod val="75000"/>
                            <a:lumOff val="2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r>
                      <a:rPr lang="en-US" sz="600" b="0" i="0">
                        <a:latin typeface="Inter Variable Text" panose="02000503000000020004" pitchFamily="2" charset="0"/>
                        <a:ea typeface="Inter Variable Text" panose="02000503000000020004" pitchFamily="2" charset="0"/>
                        <a:cs typeface="Inter Variable Text" panose="02000503000000020004" pitchFamily="2" charset="0"/>
                      </a:rPr>
                      <a:t>MVP</a:t>
                    </a:r>
                    <a:r>
                      <a:rPr lang="en-US" sz="600" b="0" i="0" baseline="0">
                        <a:latin typeface="Inter Variable Text" panose="02000503000000020004" pitchFamily="2" charset="0"/>
                        <a:ea typeface="Inter Variable Text" panose="02000503000000020004" pitchFamily="2" charset="0"/>
                        <a:cs typeface="Inter Variable Text" panose="02000503000000020004" pitchFamily="2" charset="0"/>
                      </a:rPr>
                      <a:t> Season</a:t>
                    </a:r>
                    <a:endParaRPr lang="en-US" sz="600" b="0" i="0">
                      <a:latin typeface="Inter Variable Text" panose="02000503000000020004" pitchFamily="2" charset="0"/>
                      <a:ea typeface="Inter Variable Text" panose="02000503000000020004" pitchFamily="2" charset="0"/>
                      <a:cs typeface="Inter Variable Text" panose="02000503000000020004" pitchFamily="2" charset="0"/>
                    </a:endParaRPr>
                  </a:p>
                </c:rich>
              </c:tx>
              <c:spPr>
                <a:noFill/>
                <a:ln>
                  <a:noFill/>
                </a:ln>
                <a:effectLst/>
              </c:spPr>
              <c:txPr>
                <a:bodyPr rot="0" spcFirstLastPara="1" vertOverflow="ellipsis" vert="horz" wrap="square" lIns="38100" tIns="19050" rIns="38100" bIns="19050" anchor="ctr" anchorCtr="0">
                  <a:spAutoFit/>
                </a:bodyPr>
                <a:lstStyle/>
                <a:p>
                  <a:pPr>
                    <a:defRPr sz="600" b="0" i="0" u="none" strike="noStrike" kern="1200" baseline="0">
                      <a:solidFill>
                        <a:schemeClr val="tx1">
                          <a:lumMod val="75000"/>
                          <a:lumOff val="2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507B-4B44-B05B-0F4660DA3AA5}"/>
                </c:ext>
              </c:extLst>
            </c:dLbl>
            <c:dLbl>
              <c:idx val="3"/>
              <c:layout>
                <c:manualLayout>
                  <c:x val="-0.19580428967698135"/>
                  <c:y val="-0.1132176893655058"/>
                </c:manualLayout>
              </c:layout>
              <c:tx>
                <c:rich>
                  <a:bodyPr rot="0" spcFirstLastPara="1" vertOverflow="ellipsis" vert="horz" wrap="square" lIns="38100" tIns="19050" rIns="38100" bIns="19050" anchor="ctr" anchorCtr="0">
                    <a:noAutofit/>
                  </a:bodyPr>
                  <a:lstStyle/>
                  <a:p>
                    <a:pPr>
                      <a:defRPr sz="600" b="0" i="0" u="none" strike="noStrike" kern="1200" baseline="0">
                        <a:solidFill>
                          <a:schemeClr val="tx1">
                            <a:lumMod val="75000"/>
                            <a:lumOff val="2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r>
                      <a:rPr lang="en-US" sz="600" b="0" i="0">
                        <a:latin typeface="Inter Variable Text" panose="02000503000000020004" pitchFamily="2" charset="0"/>
                        <a:ea typeface="Inter Variable Text" panose="02000503000000020004" pitchFamily="2" charset="0"/>
                        <a:cs typeface="Inter Variable Text" panose="02000503000000020004" pitchFamily="2" charset="0"/>
                      </a:rPr>
                      <a:t>Largest Gap vs</a:t>
                    </a:r>
                    <a:r>
                      <a:rPr lang="en-US" sz="600" b="0" i="0" baseline="0">
                        <a:latin typeface="Inter Variable Text" panose="02000503000000020004" pitchFamily="2" charset="0"/>
                        <a:ea typeface="Inter Variable Text" panose="02000503000000020004" pitchFamily="2" charset="0"/>
                        <a:cs typeface="Inter Variable Text" panose="02000503000000020004" pitchFamily="2" charset="0"/>
                      </a:rPr>
                      <a:t> Expected Performance</a:t>
                    </a:r>
                    <a:endParaRPr lang="en-US" sz="600" b="0" i="0">
                      <a:latin typeface="Inter Variable Text" panose="02000503000000020004" pitchFamily="2" charset="0"/>
                      <a:ea typeface="Inter Variable Text" panose="02000503000000020004" pitchFamily="2" charset="0"/>
                      <a:cs typeface="Inter Variable Text" panose="02000503000000020004" pitchFamily="2" charset="0"/>
                    </a:endParaRPr>
                  </a:p>
                </c:rich>
              </c:tx>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tx1">
                          <a:lumMod val="75000"/>
                          <a:lumOff val="2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26022316531199902"/>
                      <c:h val="0.12904266319719845"/>
                    </c:manualLayout>
                  </c15:layout>
                  <c15:showDataLabelsRange val="0"/>
                </c:ext>
                <c:ext xmlns:c16="http://schemas.microsoft.com/office/drawing/2014/chart" uri="{C3380CC4-5D6E-409C-BE32-E72D297353CC}">
                  <c16:uniqueId val="{0000000A-507B-4B44-B05B-0F4660DA3AA5}"/>
                </c:ext>
              </c:extLst>
            </c:dLbl>
            <c:dLbl>
              <c:idx val="4"/>
              <c:layout>
                <c:manualLayout>
                  <c:x val="-8.6812615633621609E-2"/>
                  <c:y val="-5.167961774658162E-2"/>
                </c:manualLayout>
              </c:layout>
              <c:tx>
                <c:rich>
                  <a:bodyPr rot="0" spcFirstLastPara="1" vertOverflow="ellipsis" vert="horz" wrap="square" lIns="38100" tIns="19050" rIns="38100" bIns="19050" anchor="ctr" anchorCtr="0">
                    <a:noAutofit/>
                  </a:bodyPr>
                  <a:lstStyle/>
                  <a:p>
                    <a:pPr>
                      <a:defRPr sz="600" b="0" i="0" u="none" strike="noStrike" kern="1200" baseline="0">
                        <a:solidFill>
                          <a:schemeClr val="tx1">
                            <a:lumMod val="75000"/>
                            <a:lumOff val="2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r>
                      <a:rPr lang="en-US" sz="600" b="0" i="0">
                        <a:latin typeface="Inter Variable Text" panose="02000503000000020004" pitchFamily="2" charset="0"/>
                        <a:ea typeface="Inter Variable Text" panose="02000503000000020004" pitchFamily="2" charset="0"/>
                        <a:cs typeface="Inter Variable Text" panose="02000503000000020004" pitchFamily="2" charset="0"/>
                      </a:rPr>
                      <a:t>MLS Cup</a:t>
                    </a:r>
                    <a:r>
                      <a:rPr lang="en-US" sz="600" b="0" i="0" baseline="0">
                        <a:latin typeface="Inter Variable Text" panose="02000503000000020004" pitchFamily="2" charset="0"/>
                        <a:ea typeface="Inter Variable Text" panose="02000503000000020004" pitchFamily="2" charset="0"/>
                        <a:cs typeface="Inter Variable Text" panose="02000503000000020004" pitchFamily="2" charset="0"/>
                      </a:rPr>
                      <a:t> Champions</a:t>
                    </a:r>
                    <a:endParaRPr lang="en-US" sz="600" b="0" i="0">
                      <a:latin typeface="Inter Variable Text" panose="02000503000000020004" pitchFamily="2" charset="0"/>
                      <a:ea typeface="Inter Variable Text" panose="02000503000000020004" pitchFamily="2" charset="0"/>
                      <a:cs typeface="Inter Variable Text" panose="02000503000000020004" pitchFamily="2" charset="0"/>
                    </a:endParaRPr>
                  </a:p>
                </c:rich>
              </c:tx>
              <c:spPr>
                <a:noFill/>
                <a:ln>
                  <a:noFill/>
                </a:ln>
                <a:effectLst/>
              </c:spPr>
              <c:txPr>
                <a:bodyPr rot="0" spcFirstLastPara="1" vertOverflow="ellipsis" vert="horz" wrap="square" lIns="38100" tIns="19050" rIns="38100" bIns="19050" anchor="ctr" anchorCtr="0">
                  <a:noAutofit/>
                </a:bodyPr>
                <a:lstStyle/>
                <a:p>
                  <a:pPr>
                    <a:defRPr sz="600" b="0" i="0" u="none" strike="noStrike" kern="1200" baseline="0">
                      <a:solidFill>
                        <a:schemeClr val="tx1">
                          <a:lumMod val="75000"/>
                          <a:lumOff val="2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846234251592341"/>
                      <c:h val="8.942663084320801E-2"/>
                    </c:manualLayout>
                  </c15:layout>
                  <c15:showDataLabelsRange val="0"/>
                </c:ext>
                <c:ext xmlns:c16="http://schemas.microsoft.com/office/drawing/2014/chart" uri="{C3380CC4-5D6E-409C-BE32-E72D297353CC}">
                  <c16:uniqueId val="{0000000B-507B-4B44-B05B-0F4660DA3AA5}"/>
                </c:ext>
              </c:extLst>
            </c:dLbl>
            <c:dLbl>
              <c:idx val="5"/>
              <c:layout>
                <c:manualLayout>
                  <c:x val="-1.3975101951318741E-2"/>
                  <c:y val="9.4879505405151398E-3"/>
                </c:manualLayout>
              </c:layout>
              <c:tx>
                <c:rich>
                  <a:bodyPr/>
                  <a:lstStyle/>
                  <a:p>
                    <a:r>
                      <a:rPr lang="en-US" sz="700" b="0" i="0">
                        <a:latin typeface="Inter Variable Text Light" panose="02000503000000020004" pitchFamily="2" charset="0"/>
                        <a:ea typeface="Inter Variable Text Light" panose="02000503000000020004" pitchFamily="2" charset="0"/>
                        <a:cs typeface="Inter Variable Text Light" panose="02000503000000020004" pitchFamily="2" charset="0"/>
                      </a:rPr>
                      <a:t>GD</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507B-4B44-B05B-0F4660DA3AA5}"/>
                </c:ext>
              </c:extLst>
            </c:dLbl>
            <c:spPr>
              <a:noFill/>
              <a:ln>
                <a:noFill/>
              </a:ln>
              <a:effectLst/>
            </c:spPr>
            <c:txPr>
              <a:bodyPr rot="0" spcFirstLastPara="1" vertOverflow="ellipsis" vert="horz" wrap="square" lIns="38100" tIns="19050" rIns="38100" bIns="19050" anchor="ctr" anchorCtr="0">
                <a:spAutoFit/>
              </a:bodyPr>
              <a:lstStyle/>
              <a:p>
                <a:pPr>
                  <a:defRPr sz="700" b="0" i="0" u="none" strike="noStrike" kern="1200" baseline="0">
                    <a:solidFill>
                      <a:schemeClr val="tx1">
                        <a:lumMod val="75000"/>
                        <a:lumOff val="2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0"/>
              </c:ext>
            </c:extLst>
          </c:dLbls>
          <c:cat>
            <c:strRef>
              <c:f>Final_Visualization_PivotTables!$A$51:$A$56</c:f>
              <c:strCache>
                <c:ptCount val="6"/>
                <c:pt idx="0">
                  <c:v>'18</c:v>
                </c:pt>
                <c:pt idx="1">
                  <c:v>'19</c:v>
                </c:pt>
                <c:pt idx="2">
                  <c:v>'20</c:v>
                </c:pt>
                <c:pt idx="3">
                  <c:v>'21</c:v>
                </c:pt>
                <c:pt idx="4">
                  <c:v>'22</c:v>
                </c:pt>
                <c:pt idx="5">
                  <c:v>'23</c:v>
                </c:pt>
              </c:strCache>
            </c:strRef>
          </c:cat>
          <c:val>
            <c:numRef>
              <c:f>Final_Visualization_PivotTables!$C$51:$C$56</c:f>
              <c:numCache>
                <c:formatCode>0.00</c:formatCode>
                <c:ptCount val="6"/>
                <c:pt idx="0">
                  <c:v>0.42857142857142855</c:v>
                </c:pt>
                <c:pt idx="1">
                  <c:v>1.3333333333333333</c:v>
                </c:pt>
                <c:pt idx="2">
                  <c:v>0.2608695652173913</c:v>
                </c:pt>
                <c:pt idx="3">
                  <c:v>5.8823529411764705E-2</c:v>
                </c:pt>
                <c:pt idx="4">
                  <c:v>0.86486486486486491</c:v>
                </c:pt>
                <c:pt idx="5">
                  <c:v>0.53846153846153844</c:v>
                </c:pt>
              </c:numCache>
            </c:numRef>
          </c:val>
          <c:smooth val="0"/>
          <c:extLst>
            <c:ext xmlns:c16="http://schemas.microsoft.com/office/drawing/2014/chart" uri="{C3380CC4-5D6E-409C-BE32-E72D297353CC}">
              <c16:uniqueId val="{0000000D-507B-4B44-B05B-0F4660DA3AA5}"/>
            </c:ext>
          </c:extLst>
        </c:ser>
        <c:ser>
          <c:idx val="2"/>
          <c:order val="2"/>
          <c:tx>
            <c:strRef>
              <c:f>Final_Visualization_PivotTables!$D$50</c:f>
              <c:strCache>
                <c:ptCount val="1"/>
                <c:pt idx="0">
                  <c:v>Sum of Zero_Line_Helper</c:v>
                </c:pt>
              </c:strCache>
            </c:strRef>
          </c:tx>
          <c:spPr>
            <a:ln w="3175" cap="rnd">
              <a:solidFill>
                <a:srgbClr val="E8E8E8">
                  <a:lumMod val="75000"/>
                </a:srgbClr>
              </a:solidFill>
              <a:prstDash val="dash"/>
              <a:round/>
            </a:ln>
            <a:effectLst/>
          </c:spPr>
          <c:marker>
            <c:symbol val="none"/>
          </c:marker>
          <c:cat>
            <c:strRef>
              <c:f>Final_Visualization_PivotTables!$A$51:$A$56</c:f>
              <c:strCache>
                <c:ptCount val="6"/>
                <c:pt idx="0">
                  <c:v>'18</c:v>
                </c:pt>
                <c:pt idx="1">
                  <c:v>'19</c:v>
                </c:pt>
                <c:pt idx="2">
                  <c:v>'20</c:v>
                </c:pt>
                <c:pt idx="3">
                  <c:v>'21</c:v>
                </c:pt>
                <c:pt idx="4">
                  <c:v>'22</c:v>
                </c:pt>
                <c:pt idx="5">
                  <c:v>'23</c:v>
                </c:pt>
              </c:strCache>
            </c:strRef>
          </c:cat>
          <c:val>
            <c:numRef>
              <c:f>Final_Visualization_PivotTables!$D$51:$D$56</c:f>
              <c:numCache>
                <c:formatCode>General</c:formatCode>
                <c:ptCount val="6"/>
                <c:pt idx="0">
                  <c:v>0</c:v>
                </c:pt>
                <c:pt idx="1">
                  <c:v>0</c:v>
                </c:pt>
                <c:pt idx="2">
                  <c:v>0</c:v>
                </c:pt>
                <c:pt idx="3">
                  <c:v>0</c:v>
                </c:pt>
                <c:pt idx="4">
                  <c:v>0</c:v>
                </c:pt>
                <c:pt idx="5">
                  <c:v>0</c:v>
                </c:pt>
              </c:numCache>
            </c:numRef>
          </c:val>
          <c:smooth val="0"/>
          <c:extLst>
            <c:ext xmlns:c16="http://schemas.microsoft.com/office/drawing/2014/chart" uri="{C3380CC4-5D6E-409C-BE32-E72D297353CC}">
              <c16:uniqueId val="{0000000E-507B-4B44-B05B-0F4660DA3AA5}"/>
            </c:ext>
          </c:extLst>
        </c:ser>
        <c:dLbls>
          <c:showLegendKey val="0"/>
          <c:showVal val="0"/>
          <c:showCatName val="0"/>
          <c:showSerName val="0"/>
          <c:showPercent val="0"/>
          <c:showBubbleSize val="0"/>
        </c:dLbls>
        <c:smooth val="0"/>
        <c:axId val="46402176"/>
        <c:axId val="46410240"/>
      </c:lineChart>
      <c:catAx>
        <c:axId val="46402176"/>
        <c:scaling>
          <c:orientation val="minMax"/>
        </c:scaling>
        <c:delete val="0"/>
        <c:axPos val="b"/>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a:t>Season</a:t>
                </a:r>
              </a:p>
            </c:rich>
          </c:tx>
          <c:layout>
            <c:manualLayout>
              <c:xMode val="edge"/>
              <c:yMode val="edge"/>
              <c:x val="0.47645497444893847"/>
              <c:y val="0.9470629015085534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title>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endParaRPr lang="en-US"/>
          </a:p>
        </c:txPr>
        <c:crossAx val="46410240"/>
        <c:crossesAt val="0"/>
        <c:auto val="1"/>
        <c:lblAlgn val="ctr"/>
        <c:lblOffset val="100"/>
        <c:noMultiLvlLbl val="0"/>
      </c:catAx>
      <c:valAx>
        <c:axId val="46410240"/>
        <c:scaling>
          <c:orientation val="minMax"/>
          <c:min val="-0.2"/>
        </c:scaling>
        <c:delete val="0"/>
        <c:axPos val="l"/>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r>
                  <a:rPr lang="en-US"/>
                  <a:t>Average Goal Differential</a:t>
                </a:r>
              </a:p>
            </c:rich>
          </c:tx>
          <c:layout>
            <c:manualLayout>
              <c:xMode val="edge"/>
              <c:yMode val="edge"/>
              <c:x val="3.266140714394531E-2"/>
              <c:y val="0.10547477967804965"/>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Inter Variable Text Light" panose="02000503000000020004" pitchFamily="2" charset="0"/>
                  <a:ea typeface="Inter Variable Text Light" panose="02000503000000020004" pitchFamily="2" charset="0"/>
                  <a:cs typeface="Inter Variable Text Light" panose="02000503000000020004" pitchFamily="2" charset="0"/>
                </a:defRPr>
              </a:pPr>
              <a:endParaRPr lang="en-U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Inter Variable Text" panose="02000503000000020004" pitchFamily="2" charset="0"/>
                <a:ea typeface="Inter Variable Text" panose="02000503000000020004" pitchFamily="2" charset="0"/>
                <a:cs typeface="Inter Variable Text" panose="02000503000000020004" pitchFamily="2" charset="0"/>
              </a:defRPr>
            </a:pPr>
            <a:endParaRPr lang="en-US"/>
          </a:p>
        </c:txPr>
        <c:crossAx val="46402176"/>
        <c:crosses val="autoZero"/>
        <c:crossBetween val="midCat"/>
      </c:valAx>
      <c:spPr>
        <a:noFill/>
        <a:ln>
          <a:noFill/>
        </a:ln>
        <a:effectLst/>
      </c:spPr>
    </c:plotArea>
    <c:plotVisOnly val="1"/>
    <c:dispBlanksAs val="gap"/>
    <c:showDLblsOverMax val="0"/>
    <c:extLst/>
  </c:chart>
  <c:spPr>
    <a:solidFill>
      <a:srgbClr val="FAFAFA"/>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[fbref_LAFC_combined_Analysis.xlsx]TestPivots!PivotTable1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TestPivots!$E$17:$E$18</c:f>
              <c:strCache>
                <c:ptCount val="1"/>
                <c:pt idx="0">
                  <c:v>0</c:v>
                </c:pt>
              </c:strCache>
            </c:strRef>
          </c:tx>
          <c:spPr>
            <a:solidFill>
              <a:schemeClr val="accent1"/>
            </a:solidFill>
            <a:ln>
              <a:noFill/>
            </a:ln>
            <a:effectLst/>
          </c:spPr>
          <c:invertIfNegative val="0"/>
          <c:cat>
            <c:strRef>
              <c:f>TestPivots!$D$19:$D$24</c:f>
              <c:strCache>
                <c:ptCount val="6"/>
                <c:pt idx="0">
                  <c:v>Average of GF</c:v>
                </c:pt>
                <c:pt idx="1">
                  <c:v>Average of GA</c:v>
                </c:pt>
                <c:pt idx="2">
                  <c:v>Average of GD</c:v>
                </c:pt>
                <c:pt idx="3">
                  <c:v>Average of xG</c:v>
                </c:pt>
                <c:pt idx="4">
                  <c:v>Average of xGA</c:v>
                </c:pt>
                <c:pt idx="5">
                  <c:v>Average of xGD</c:v>
                </c:pt>
              </c:strCache>
            </c:strRef>
          </c:cat>
          <c:val>
            <c:numRef>
              <c:f>TestPivots!$E$19:$E$24</c:f>
              <c:numCache>
                <c:formatCode>0.00</c:formatCode>
                <c:ptCount val="6"/>
                <c:pt idx="0">
                  <c:v>2.0750000000000002</c:v>
                </c:pt>
                <c:pt idx="1">
                  <c:v>1.7749999999999999</c:v>
                </c:pt>
                <c:pt idx="2">
                  <c:v>0.3</c:v>
                </c:pt>
                <c:pt idx="3">
                  <c:v>1.7224999999999997</c:v>
                </c:pt>
                <c:pt idx="4">
                  <c:v>1.5199999999999998</c:v>
                </c:pt>
                <c:pt idx="5">
                  <c:v>0.20249999999999996</c:v>
                </c:pt>
              </c:numCache>
            </c:numRef>
          </c:val>
          <c:extLst>
            <c:ext xmlns:c16="http://schemas.microsoft.com/office/drawing/2014/chart" uri="{C3380CC4-5D6E-409C-BE32-E72D297353CC}">
              <c16:uniqueId val="{0000001F-5B27-AD47-A51D-05C357D8482B}"/>
            </c:ext>
          </c:extLst>
        </c:ser>
        <c:ser>
          <c:idx val="1"/>
          <c:order val="1"/>
          <c:tx>
            <c:strRef>
              <c:f>TestPivots!$F$17:$F$18</c:f>
              <c:strCache>
                <c:ptCount val="1"/>
                <c:pt idx="0">
                  <c:v>1</c:v>
                </c:pt>
              </c:strCache>
            </c:strRef>
          </c:tx>
          <c:spPr>
            <a:solidFill>
              <a:schemeClr val="accent2"/>
            </a:solidFill>
            <a:ln>
              <a:noFill/>
            </a:ln>
            <a:effectLst/>
          </c:spPr>
          <c:invertIfNegative val="0"/>
          <c:cat>
            <c:strRef>
              <c:f>TestPivots!$D$19:$D$24</c:f>
              <c:strCache>
                <c:ptCount val="6"/>
                <c:pt idx="0">
                  <c:v>Average of GF</c:v>
                </c:pt>
                <c:pt idx="1">
                  <c:v>Average of GA</c:v>
                </c:pt>
                <c:pt idx="2">
                  <c:v>Average of GD</c:v>
                </c:pt>
                <c:pt idx="3">
                  <c:v>Average of xG</c:v>
                </c:pt>
                <c:pt idx="4">
                  <c:v>Average of xGA</c:v>
                </c:pt>
                <c:pt idx="5">
                  <c:v>Average of xGD</c:v>
                </c:pt>
              </c:strCache>
            </c:strRef>
          </c:cat>
          <c:val>
            <c:numRef>
              <c:f>TestPivots!$F$19:$F$24</c:f>
              <c:numCache>
                <c:formatCode>0.00</c:formatCode>
                <c:ptCount val="6"/>
                <c:pt idx="0">
                  <c:v>1.9390243902439024</c:v>
                </c:pt>
                <c:pt idx="1">
                  <c:v>1.2560975609756098</c:v>
                </c:pt>
                <c:pt idx="2">
                  <c:v>0.68292682926829273</c:v>
                </c:pt>
                <c:pt idx="3">
                  <c:v>1.9603658536585367</c:v>
                </c:pt>
                <c:pt idx="4">
                  <c:v>1.1792682926829268</c:v>
                </c:pt>
                <c:pt idx="5">
                  <c:v>0.78109756097560956</c:v>
                </c:pt>
              </c:numCache>
            </c:numRef>
          </c:val>
          <c:extLst>
            <c:ext xmlns:c16="http://schemas.microsoft.com/office/drawing/2014/chart" uri="{C3380CC4-5D6E-409C-BE32-E72D297353CC}">
              <c16:uniqueId val="{00000026-5B27-AD47-A51D-05C357D8482B}"/>
            </c:ext>
          </c:extLst>
        </c:ser>
        <c:dLbls>
          <c:showLegendKey val="0"/>
          <c:showVal val="0"/>
          <c:showCatName val="0"/>
          <c:showSerName val="0"/>
          <c:showPercent val="0"/>
          <c:showBubbleSize val="0"/>
        </c:dLbls>
        <c:gapWidth val="219"/>
        <c:overlap val="-27"/>
        <c:axId val="1865202144"/>
        <c:axId val="1865203856"/>
      </c:barChart>
      <c:catAx>
        <c:axId val="186520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5203856"/>
        <c:crosses val="autoZero"/>
        <c:auto val="1"/>
        <c:lblAlgn val="ctr"/>
        <c:lblOffset val="100"/>
        <c:noMultiLvlLbl val="0"/>
      </c:catAx>
      <c:valAx>
        <c:axId val="186520385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86520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[fbref_LAFC_combined_Analysis.xlsx]TestPivots!PivotTable7</c:name>
    <c:fmtId val="0"/>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TestPivots!$U$18</c:f>
              <c:strCache>
                <c:ptCount val="1"/>
                <c:pt idx="0">
                  <c:v>Average of GD</c:v>
                </c:pt>
              </c:strCache>
            </c:strRef>
          </c:tx>
          <c:spPr>
            <a:solidFill>
              <a:schemeClr val="accent1"/>
            </a:solidFill>
            <a:ln>
              <a:noFill/>
            </a:ln>
            <a:effectLst/>
          </c:spPr>
          <c:invertIfNegative val="0"/>
          <c:cat>
            <c:strRef>
              <c:f>TestPivots!$T$19:$T$24</c:f>
              <c:strCache>
                <c:ptCount val="6"/>
                <c:pt idx="0">
                  <c:v>2018</c:v>
                </c:pt>
                <c:pt idx="1">
                  <c:v>2019</c:v>
                </c:pt>
                <c:pt idx="2">
                  <c:v>2020</c:v>
                </c:pt>
                <c:pt idx="3">
                  <c:v>2021</c:v>
                </c:pt>
                <c:pt idx="4">
                  <c:v>2022</c:v>
                </c:pt>
                <c:pt idx="5">
                  <c:v>2023</c:v>
                </c:pt>
              </c:strCache>
            </c:strRef>
          </c:cat>
          <c:val>
            <c:numRef>
              <c:f>TestPivots!$U$19:$U$24</c:f>
              <c:numCache>
                <c:formatCode>0.00</c:formatCode>
                <c:ptCount val="6"/>
                <c:pt idx="0">
                  <c:v>0.42857142857142855</c:v>
                </c:pt>
                <c:pt idx="1">
                  <c:v>1.3333333333333333</c:v>
                </c:pt>
                <c:pt idx="2">
                  <c:v>0.2608695652173913</c:v>
                </c:pt>
                <c:pt idx="3">
                  <c:v>5.8823529411764705E-2</c:v>
                </c:pt>
                <c:pt idx="4">
                  <c:v>0.86486486486486491</c:v>
                </c:pt>
                <c:pt idx="5">
                  <c:v>0.53846153846153844</c:v>
                </c:pt>
              </c:numCache>
            </c:numRef>
          </c:val>
          <c:extLst>
            <c:ext xmlns:c16="http://schemas.microsoft.com/office/drawing/2014/chart" uri="{C3380CC4-5D6E-409C-BE32-E72D297353CC}">
              <c16:uniqueId val="{00000000-A0DB-EE47-A89D-F0DC39236DD7}"/>
            </c:ext>
          </c:extLst>
        </c:ser>
        <c:ser>
          <c:idx val="1"/>
          <c:order val="1"/>
          <c:tx>
            <c:strRef>
              <c:f>TestPivots!$V$18</c:f>
              <c:strCache>
                <c:ptCount val="1"/>
                <c:pt idx="0">
                  <c:v>Average of xGD</c:v>
                </c:pt>
              </c:strCache>
            </c:strRef>
          </c:tx>
          <c:spPr>
            <a:solidFill>
              <a:schemeClr val="accent2"/>
            </a:solidFill>
            <a:ln>
              <a:noFill/>
            </a:ln>
            <a:effectLst/>
          </c:spPr>
          <c:invertIfNegative val="0"/>
          <c:cat>
            <c:strRef>
              <c:f>TestPivots!$T$19:$T$24</c:f>
              <c:strCache>
                <c:ptCount val="6"/>
                <c:pt idx="0">
                  <c:v>2018</c:v>
                </c:pt>
                <c:pt idx="1">
                  <c:v>2019</c:v>
                </c:pt>
                <c:pt idx="2">
                  <c:v>2020</c:v>
                </c:pt>
                <c:pt idx="3">
                  <c:v>2021</c:v>
                </c:pt>
                <c:pt idx="4">
                  <c:v>2022</c:v>
                </c:pt>
                <c:pt idx="5">
                  <c:v>2023</c:v>
                </c:pt>
              </c:strCache>
            </c:strRef>
          </c:cat>
          <c:val>
            <c:numRef>
              <c:f>TestPivots!$V$19:$V$24</c:f>
              <c:numCache>
                <c:formatCode>0.00</c:formatCode>
                <c:ptCount val="6"/>
                <c:pt idx="0">
                  <c:v>0.36857142857142861</c:v>
                </c:pt>
                <c:pt idx="1">
                  <c:v>1.1500000000000001</c:v>
                </c:pt>
                <c:pt idx="2">
                  <c:v>0.52173913043478248</c:v>
                </c:pt>
                <c:pt idx="3">
                  <c:v>0.61764705882352944</c:v>
                </c:pt>
                <c:pt idx="4">
                  <c:v>0.83783783783783783</c:v>
                </c:pt>
                <c:pt idx="5">
                  <c:v>0.45897435897435895</c:v>
                </c:pt>
              </c:numCache>
            </c:numRef>
          </c:val>
          <c:extLst>
            <c:ext xmlns:c16="http://schemas.microsoft.com/office/drawing/2014/chart" uri="{C3380CC4-5D6E-409C-BE32-E72D297353CC}">
              <c16:uniqueId val="{00000002-A0DB-EE47-A89D-F0DC39236DD7}"/>
            </c:ext>
          </c:extLst>
        </c:ser>
        <c:dLbls>
          <c:showLegendKey val="0"/>
          <c:showVal val="0"/>
          <c:showCatName val="0"/>
          <c:showSerName val="0"/>
          <c:showPercent val="0"/>
          <c:showBubbleSize val="0"/>
        </c:dLbls>
        <c:gapWidth val="219"/>
        <c:axId val="1943237552"/>
        <c:axId val="325583199"/>
      </c:barChart>
      <c:catAx>
        <c:axId val="194323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583199"/>
        <c:crosses val="autoZero"/>
        <c:auto val="1"/>
        <c:lblAlgn val="ctr"/>
        <c:lblOffset val="100"/>
        <c:noMultiLvlLbl val="0"/>
      </c:catAx>
      <c:valAx>
        <c:axId val="3255831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323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[fbref_LAFC_combined_Analysis.xlsx]TestPivots!PivotTable11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TestPivots!$D$52</c:f>
              <c:strCache>
                <c:ptCount val="1"/>
                <c:pt idx="0">
                  <c:v>Average of GF</c:v>
                </c:pt>
              </c:strCache>
            </c:strRef>
          </c:tx>
          <c:spPr>
            <a:solidFill>
              <a:schemeClr val="accent1"/>
            </a:solidFill>
            <a:ln>
              <a:noFill/>
            </a:ln>
            <a:effectLst/>
          </c:spPr>
          <c:invertIfNegative val="0"/>
          <c:cat>
            <c:multiLvlStrRef>
              <c:f>TestPivots!$C$53:$C$56</c:f>
              <c:multiLvlStrCache>
                <c:ptCount val="3"/>
                <c:lvl>
                  <c:pt idx="0">
                    <c:v>High</c:v>
                  </c:pt>
                  <c:pt idx="1">
                    <c:v>Low</c:v>
                  </c:pt>
                  <c:pt idx="2">
                    <c:v>Medium</c:v>
                  </c:pt>
                </c:lvl>
                <c:lvl>
                  <c:pt idx="0">
                    <c:v>2021</c:v>
                  </c:pt>
                </c:lvl>
              </c:multiLvlStrCache>
            </c:multiLvlStrRef>
          </c:cat>
          <c:val>
            <c:numRef>
              <c:f>TestPivots!$D$53:$D$56</c:f>
              <c:numCache>
                <c:formatCode>0.00</c:formatCode>
                <c:ptCount val="3"/>
                <c:pt idx="0">
                  <c:v>1.3636363636363635</c:v>
                </c:pt>
                <c:pt idx="1">
                  <c:v>1.6842105263157894</c:v>
                </c:pt>
                <c:pt idx="2">
                  <c:v>1.5</c:v>
                </c:pt>
              </c:numCache>
            </c:numRef>
          </c:val>
          <c:extLst>
            <c:ext xmlns:c16="http://schemas.microsoft.com/office/drawing/2014/chart" uri="{C3380CC4-5D6E-409C-BE32-E72D297353CC}">
              <c16:uniqueId val="{00000000-4F91-114C-A938-8C4F9EAB542E}"/>
            </c:ext>
          </c:extLst>
        </c:ser>
        <c:ser>
          <c:idx val="1"/>
          <c:order val="1"/>
          <c:tx>
            <c:strRef>
              <c:f>TestPivots!$E$52</c:f>
              <c:strCache>
                <c:ptCount val="1"/>
                <c:pt idx="0">
                  <c:v>Average of xG</c:v>
                </c:pt>
              </c:strCache>
            </c:strRef>
          </c:tx>
          <c:spPr>
            <a:solidFill>
              <a:schemeClr val="accent2"/>
            </a:solidFill>
            <a:ln>
              <a:noFill/>
            </a:ln>
            <a:effectLst/>
          </c:spPr>
          <c:invertIfNegative val="0"/>
          <c:cat>
            <c:multiLvlStrRef>
              <c:f>TestPivots!$C$53:$C$56</c:f>
              <c:multiLvlStrCache>
                <c:ptCount val="3"/>
                <c:lvl>
                  <c:pt idx="0">
                    <c:v>High</c:v>
                  </c:pt>
                  <c:pt idx="1">
                    <c:v>Low</c:v>
                  </c:pt>
                  <c:pt idx="2">
                    <c:v>Medium</c:v>
                  </c:pt>
                </c:lvl>
                <c:lvl>
                  <c:pt idx="0">
                    <c:v>2021</c:v>
                  </c:pt>
                </c:lvl>
              </c:multiLvlStrCache>
            </c:multiLvlStrRef>
          </c:cat>
          <c:val>
            <c:numRef>
              <c:f>TestPivots!$E$53:$E$56</c:f>
              <c:numCache>
                <c:formatCode>0.00</c:formatCode>
                <c:ptCount val="3"/>
                <c:pt idx="0">
                  <c:v>2.1181818181818186</c:v>
                </c:pt>
                <c:pt idx="1">
                  <c:v>1.9210526315789473</c:v>
                </c:pt>
                <c:pt idx="2">
                  <c:v>1.5</c:v>
                </c:pt>
              </c:numCache>
            </c:numRef>
          </c:val>
          <c:extLst>
            <c:ext xmlns:c16="http://schemas.microsoft.com/office/drawing/2014/chart" uri="{C3380CC4-5D6E-409C-BE32-E72D297353CC}">
              <c16:uniqueId val="{00000001-4F91-114C-A938-8C4F9EAB542E}"/>
            </c:ext>
          </c:extLst>
        </c:ser>
        <c:dLbls>
          <c:showLegendKey val="0"/>
          <c:showVal val="0"/>
          <c:showCatName val="0"/>
          <c:showSerName val="0"/>
          <c:showPercent val="0"/>
          <c:showBubbleSize val="0"/>
        </c:dLbls>
        <c:gapWidth val="219"/>
        <c:axId val="375237615"/>
        <c:axId val="2031539456"/>
      </c:barChart>
      <c:catAx>
        <c:axId val="37523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539456"/>
        <c:crosses val="autoZero"/>
        <c:auto val="1"/>
        <c:lblAlgn val="ctr"/>
        <c:lblOffset val="100"/>
        <c:noMultiLvlLbl val="0"/>
      </c:catAx>
      <c:valAx>
        <c:axId val="2031539456"/>
        <c:scaling>
          <c:orientation val="minMax"/>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5237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[fbref_LAFC_combined_Analysis.xlsx]TestPivots!PivotTable9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TestPivots!$P$18</c:f>
              <c:strCache>
                <c:ptCount val="1"/>
                <c:pt idx="0">
                  <c:v>Average of GF</c:v>
                </c:pt>
              </c:strCache>
            </c:strRef>
          </c:tx>
          <c:spPr>
            <a:solidFill>
              <a:schemeClr val="accent1"/>
            </a:solidFill>
            <a:ln>
              <a:noFill/>
            </a:ln>
            <a:effectLst/>
          </c:spPr>
          <c:invertIfNegative val="0"/>
          <c:cat>
            <c:strRef>
              <c:f>TestPivots!$O$19:$O$25</c:f>
              <c:strCache>
                <c:ptCount val="6"/>
                <c:pt idx="0">
                  <c:v>2018</c:v>
                </c:pt>
                <c:pt idx="1">
                  <c:v>2019</c:v>
                </c:pt>
                <c:pt idx="2">
                  <c:v>2020</c:v>
                </c:pt>
                <c:pt idx="3">
                  <c:v>2021</c:v>
                </c:pt>
                <c:pt idx="4">
                  <c:v>2022</c:v>
                </c:pt>
                <c:pt idx="5">
                  <c:v>2023</c:v>
                </c:pt>
              </c:strCache>
            </c:strRef>
          </c:cat>
          <c:val>
            <c:numRef>
              <c:f>TestPivots!$P$19:$P$25</c:f>
              <c:numCache>
                <c:formatCode>0.00</c:formatCode>
                <c:ptCount val="6"/>
                <c:pt idx="0">
                  <c:v>2</c:v>
                </c:pt>
                <c:pt idx="1">
                  <c:v>2.5277777777777777</c:v>
                </c:pt>
                <c:pt idx="2">
                  <c:v>2.0869565217391304</c:v>
                </c:pt>
                <c:pt idx="3">
                  <c:v>1.5588235294117647</c:v>
                </c:pt>
                <c:pt idx="4">
                  <c:v>2.0270270270270272</c:v>
                </c:pt>
                <c:pt idx="5">
                  <c:v>1.641025641025641</c:v>
                </c:pt>
              </c:numCache>
            </c:numRef>
          </c:val>
          <c:extLst>
            <c:ext xmlns:c16="http://schemas.microsoft.com/office/drawing/2014/chart" uri="{C3380CC4-5D6E-409C-BE32-E72D297353CC}">
              <c16:uniqueId val="{00000000-3CB0-0A4F-A53F-1D5405075C97}"/>
            </c:ext>
          </c:extLst>
        </c:ser>
        <c:ser>
          <c:idx val="1"/>
          <c:order val="1"/>
          <c:tx>
            <c:strRef>
              <c:f>TestPivots!$Q$18</c:f>
              <c:strCache>
                <c:ptCount val="1"/>
                <c:pt idx="0">
                  <c:v>Average of xG</c:v>
                </c:pt>
              </c:strCache>
            </c:strRef>
          </c:tx>
          <c:spPr>
            <a:solidFill>
              <a:schemeClr val="accent2"/>
            </a:solidFill>
            <a:ln>
              <a:noFill/>
            </a:ln>
            <a:effectLst/>
          </c:spPr>
          <c:invertIfNegative val="0"/>
          <c:cat>
            <c:strRef>
              <c:f>TestPivots!$O$19:$O$25</c:f>
              <c:strCache>
                <c:ptCount val="6"/>
                <c:pt idx="0">
                  <c:v>2018</c:v>
                </c:pt>
                <c:pt idx="1">
                  <c:v>2019</c:v>
                </c:pt>
                <c:pt idx="2">
                  <c:v>2020</c:v>
                </c:pt>
                <c:pt idx="3">
                  <c:v>2021</c:v>
                </c:pt>
                <c:pt idx="4">
                  <c:v>2022</c:v>
                </c:pt>
                <c:pt idx="5">
                  <c:v>2023</c:v>
                </c:pt>
              </c:strCache>
            </c:strRef>
          </c:cat>
          <c:val>
            <c:numRef>
              <c:f>TestPivots!$Q$19:$Q$25</c:f>
              <c:numCache>
                <c:formatCode>0.00</c:formatCode>
                <c:ptCount val="6"/>
                <c:pt idx="0">
                  <c:v>1.8857142857142857</c:v>
                </c:pt>
                <c:pt idx="1">
                  <c:v>2.3250000000000002</c:v>
                </c:pt>
                <c:pt idx="2">
                  <c:v>1.9826086956521736</c:v>
                </c:pt>
                <c:pt idx="3">
                  <c:v>1.9352941176470588</c:v>
                </c:pt>
                <c:pt idx="4">
                  <c:v>1.8378378378378379</c:v>
                </c:pt>
                <c:pt idx="5">
                  <c:v>1.5717948717948715</c:v>
                </c:pt>
              </c:numCache>
            </c:numRef>
          </c:val>
          <c:extLst>
            <c:ext xmlns:c16="http://schemas.microsoft.com/office/drawing/2014/chart" uri="{C3380CC4-5D6E-409C-BE32-E72D297353CC}">
              <c16:uniqueId val="{00000001-3CB0-0A4F-A53F-1D5405075C97}"/>
            </c:ext>
          </c:extLst>
        </c:ser>
        <c:dLbls>
          <c:showLegendKey val="0"/>
          <c:showVal val="0"/>
          <c:showCatName val="0"/>
          <c:showSerName val="0"/>
          <c:showPercent val="0"/>
          <c:showBubbleSize val="0"/>
        </c:dLbls>
        <c:gapWidth val="219"/>
        <c:overlap val="-27"/>
        <c:axId val="1995655488"/>
        <c:axId val="1896169248"/>
      </c:barChart>
      <c:catAx>
        <c:axId val="199565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6169248"/>
        <c:crosses val="autoZero"/>
        <c:auto val="1"/>
        <c:lblAlgn val="ctr"/>
        <c:lblOffset val="100"/>
        <c:noMultiLvlLbl val="0"/>
      </c:catAx>
      <c:valAx>
        <c:axId val="1896169248"/>
        <c:scaling>
          <c:orientation val="minMax"/>
          <c:max val="2.6"/>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565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[fbref_LAFC_combined_Analysis.xlsx]TestPivots!PivotTable15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TestPivots!$I$52</c:f>
              <c:strCache>
                <c:ptCount val="1"/>
                <c:pt idx="0">
                  <c:v>Average of GD</c:v>
                </c:pt>
              </c:strCache>
            </c:strRef>
          </c:tx>
          <c:spPr>
            <a:solidFill>
              <a:schemeClr val="accent1"/>
            </a:solidFill>
            <a:ln>
              <a:noFill/>
            </a:ln>
            <a:effectLst/>
          </c:spPr>
          <c:invertIfNegative val="0"/>
          <c:cat>
            <c:multiLvlStrRef>
              <c:f>TestPivots!$H$53:$H$56</c:f>
              <c:multiLvlStrCache>
                <c:ptCount val="3"/>
                <c:lvl>
                  <c:pt idx="0">
                    <c:v>High</c:v>
                  </c:pt>
                  <c:pt idx="1">
                    <c:v>Low</c:v>
                  </c:pt>
                  <c:pt idx="2">
                    <c:v>Medium</c:v>
                  </c:pt>
                </c:lvl>
                <c:lvl>
                  <c:pt idx="0">
                    <c:v>2021</c:v>
                  </c:pt>
                </c:lvl>
              </c:multiLvlStrCache>
            </c:multiLvlStrRef>
          </c:cat>
          <c:val>
            <c:numRef>
              <c:f>TestPivots!$I$53:$I$56</c:f>
              <c:numCache>
                <c:formatCode>0.00</c:formatCode>
                <c:ptCount val="3"/>
                <c:pt idx="0">
                  <c:v>-9.0909090909090912E-2</c:v>
                </c:pt>
                <c:pt idx="1">
                  <c:v>0.31578947368421051</c:v>
                </c:pt>
                <c:pt idx="2">
                  <c:v>-0.75</c:v>
                </c:pt>
              </c:numCache>
            </c:numRef>
          </c:val>
          <c:extLst>
            <c:ext xmlns:c16="http://schemas.microsoft.com/office/drawing/2014/chart" uri="{C3380CC4-5D6E-409C-BE32-E72D297353CC}">
              <c16:uniqueId val="{00000000-62AB-A046-AB5F-62FA5682E033}"/>
            </c:ext>
          </c:extLst>
        </c:ser>
        <c:ser>
          <c:idx val="1"/>
          <c:order val="1"/>
          <c:tx>
            <c:strRef>
              <c:f>TestPivots!$J$52</c:f>
              <c:strCache>
                <c:ptCount val="1"/>
                <c:pt idx="0">
                  <c:v>Average of xGD</c:v>
                </c:pt>
              </c:strCache>
            </c:strRef>
          </c:tx>
          <c:spPr>
            <a:solidFill>
              <a:schemeClr val="accent2"/>
            </a:solidFill>
            <a:ln>
              <a:noFill/>
            </a:ln>
            <a:effectLst/>
          </c:spPr>
          <c:invertIfNegative val="0"/>
          <c:cat>
            <c:multiLvlStrRef>
              <c:f>TestPivots!$H$53:$H$56</c:f>
              <c:multiLvlStrCache>
                <c:ptCount val="3"/>
                <c:lvl>
                  <c:pt idx="0">
                    <c:v>High</c:v>
                  </c:pt>
                  <c:pt idx="1">
                    <c:v>Low</c:v>
                  </c:pt>
                  <c:pt idx="2">
                    <c:v>Medium</c:v>
                  </c:pt>
                </c:lvl>
                <c:lvl>
                  <c:pt idx="0">
                    <c:v>2021</c:v>
                  </c:pt>
                </c:lvl>
              </c:multiLvlStrCache>
            </c:multiLvlStrRef>
          </c:cat>
          <c:val>
            <c:numRef>
              <c:f>TestPivots!$J$53:$J$56</c:f>
              <c:numCache>
                <c:formatCode>0.00</c:formatCode>
                <c:ptCount val="3"/>
                <c:pt idx="0">
                  <c:v>0.98181818181818192</c:v>
                </c:pt>
                <c:pt idx="1">
                  <c:v>0.54210526315789476</c:v>
                </c:pt>
                <c:pt idx="2">
                  <c:v>-2.5000000000000022E-2</c:v>
                </c:pt>
              </c:numCache>
            </c:numRef>
          </c:val>
          <c:extLst>
            <c:ext xmlns:c16="http://schemas.microsoft.com/office/drawing/2014/chart" uri="{C3380CC4-5D6E-409C-BE32-E72D297353CC}">
              <c16:uniqueId val="{00000001-62AB-A046-AB5F-62FA5682E033}"/>
            </c:ext>
          </c:extLst>
        </c:ser>
        <c:dLbls>
          <c:showLegendKey val="0"/>
          <c:showVal val="0"/>
          <c:showCatName val="0"/>
          <c:showSerName val="0"/>
          <c:showPercent val="0"/>
          <c:showBubbleSize val="0"/>
        </c:dLbls>
        <c:gapWidth val="219"/>
        <c:overlap val="-27"/>
        <c:axId val="1515612047"/>
        <c:axId val="1531111391"/>
      </c:barChart>
      <c:catAx>
        <c:axId val="151561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111391"/>
        <c:crosses val="autoZero"/>
        <c:auto val="1"/>
        <c:lblAlgn val="ctr"/>
        <c:lblOffset val="100"/>
        <c:noMultiLvlLbl val="0"/>
      </c:catAx>
      <c:valAx>
        <c:axId val="15311113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61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7</xdr:col>
      <xdr:colOff>118707</xdr:colOff>
      <xdr:row>2</xdr:row>
      <xdr:rowOff>77582</xdr:rowOff>
    </xdr:from>
    <xdr:to>
      <xdr:col>12</xdr:col>
      <xdr:colOff>685724</xdr:colOff>
      <xdr:row>16</xdr:row>
      <xdr:rowOff>175861</xdr:rowOff>
    </xdr:to>
    <xdr:graphicFrame macro="">
      <xdr:nvGraphicFramePr>
        <xdr:cNvPr id="2" name="Chart 1">
          <a:extLst>
            <a:ext uri="{FF2B5EF4-FFF2-40B4-BE49-F238E27FC236}">
              <a16:creationId xmlns:a16="http://schemas.microsoft.com/office/drawing/2014/main" id="{00483760-6465-DE73-B1F0-7FFDCAB47D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481362</xdr:colOff>
      <xdr:row>18</xdr:row>
      <xdr:rowOff>4769</xdr:rowOff>
    </xdr:from>
    <xdr:to>
      <xdr:col>8</xdr:col>
      <xdr:colOff>54934</xdr:colOff>
      <xdr:row>28</xdr:row>
      <xdr:rowOff>120726</xdr:rowOff>
    </xdr:to>
    <xdr:graphicFrame macro="">
      <xdr:nvGraphicFramePr>
        <xdr:cNvPr id="3" name="PrimaryChart">
          <a:extLst>
            <a:ext uri="{FF2B5EF4-FFF2-40B4-BE49-F238E27FC236}">
              <a16:creationId xmlns:a16="http://schemas.microsoft.com/office/drawing/2014/main" id="{0A785405-B081-3259-008F-175621944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218184</xdr:colOff>
      <xdr:row>3</xdr:row>
      <xdr:rowOff>180614</xdr:rowOff>
    </xdr:from>
    <xdr:to>
      <xdr:col>5</xdr:col>
      <xdr:colOff>529016</xdr:colOff>
      <xdr:row>17</xdr:row>
      <xdr:rowOff>40071</xdr:rowOff>
    </xdr:to>
    <xdr:graphicFrame macro="">
      <xdr:nvGraphicFramePr>
        <xdr:cNvPr id="4" name="Chart 2">
          <a:extLst>
            <a:ext uri="{FF2B5EF4-FFF2-40B4-BE49-F238E27FC236}">
              <a16:creationId xmlns:a16="http://schemas.microsoft.com/office/drawing/2014/main" id="{F73CF64F-E82F-816E-E024-D2E5FB4087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0.59999</cdr:x>
      <cdr:y>0.4809</cdr:y>
    </cdr:from>
    <cdr:to>
      <cdr:x>0.60052</cdr:x>
      <cdr:y>0.83322</cdr:y>
    </cdr:to>
    <cdr:cxnSp macro="">
      <cdr:nvCxnSpPr>
        <cdr:cNvPr id="2" name="Straight Arrow Connector 1">
          <a:extLst xmlns:a="http://schemas.openxmlformats.org/drawingml/2006/main">
            <a:ext uri="{FF2B5EF4-FFF2-40B4-BE49-F238E27FC236}">
              <a16:creationId xmlns:a16="http://schemas.microsoft.com/office/drawing/2014/main" id="{557D02A2-EB9A-2CDE-50D9-9945AFB37275}"/>
            </a:ext>
          </a:extLst>
        </cdr:cNvPr>
        <cdr:cNvCxnSpPr/>
      </cdr:nvCxnSpPr>
      <cdr:spPr>
        <a:xfrm xmlns:a="http://schemas.openxmlformats.org/drawingml/2006/main" flipV="1">
          <a:off x="2808200" y="1410371"/>
          <a:ext cx="2481" cy="1033274"/>
        </a:xfrm>
        <a:prstGeom xmlns:a="http://schemas.openxmlformats.org/drawingml/2006/main" prst="straightConnector1">
          <a:avLst/>
        </a:prstGeom>
        <a:ln xmlns:a="http://schemas.openxmlformats.org/drawingml/2006/main" w="19050">
          <a:solidFill>
            <a:schemeClr val="tx1">
              <a:lumMod val="75000"/>
              <a:lumOff val="25000"/>
            </a:schemeClr>
          </a:solidFill>
          <a:headEnd type="triangle"/>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0.54229</cdr:x>
      <cdr:y>0.13684</cdr:y>
    </cdr:from>
    <cdr:to>
      <cdr:x>0.65876</cdr:x>
      <cdr:y>0.9068</cdr:y>
    </cdr:to>
    <cdr:sp macro="" textlink="">
      <cdr:nvSpPr>
        <cdr:cNvPr id="3" name="Rectangle 2">
          <a:extLst xmlns:a="http://schemas.openxmlformats.org/drawingml/2006/main">
            <a:ext uri="{FF2B5EF4-FFF2-40B4-BE49-F238E27FC236}">
              <a16:creationId xmlns:a16="http://schemas.microsoft.com/office/drawing/2014/main" id="{877DAA87-2A05-842A-BB95-318712B7D017}"/>
            </a:ext>
          </a:extLst>
        </cdr:cNvPr>
        <cdr:cNvSpPr/>
      </cdr:nvSpPr>
      <cdr:spPr>
        <a:xfrm xmlns:a="http://schemas.openxmlformats.org/drawingml/2006/main">
          <a:off x="2558302" y="402717"/>
          <a:ext cx="549456" cy="2266082"/>
        </a:xfrm>
        <a:prstGeom xmlns:a="http://schemas.openxmlformats.org/drawingml/2006/main" prst="rect">
          <a:avLst/>
        </a:prstGeom>
        <a:solidFill xmlns:a="http://schemas.openxmlformats.org/drawingml/2006/main">
          <a:schemeClr val="tx1">
            <a:lumMod val="95000"/>
            <a:lumOff val="5000"/>
            <a:alpha val="5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100"/>
        </a:p>
      </cdr:txBody>
    </cdr:sp>
  </cdr:relSizeAnchor>
  <cdr:relSizeAnchor xmlns:cdr="http://schemas.openxmlformats.org/drawingml/2006/chartDrawing">
    <cdr:from>
      <cdr:x>0.39723</cdr:x>
      <cdr:y>0.49631</cdr:y>
    </cdr:from>
    <cdr:to>
      <cdr:x>0.57176</cdr:x>
      <cdr:y>0.72841</cdr:y>
    </cdr:to>
    <cdr:sp macro="" textlink="">
      <cdr:nvSpPr>
        <cdr:cNvPr id="4" name="TextBox 6">
          <a:extLst xmlns:a="http://schemas.openxmlformats.org/drawingml/2006/main">
            <a:ext uri="{FF2B5EF4-FFF2-40B4-BE49-F238E27FC236}">
              <a16:creationId xmlns:a16="http://schemas.microsoft.com/office/drawing/2014/main" id="{54A6AC82-0F63-3C43-8A54-57D9B39DFD05}"/>
            </a:ext>
          </a:extLst>
        </cdr:cNvPr>
        <cdr:cNvSpPr txBox="1"/>
      </cdr:nvSpPr>
      <cdr:spPr>
        <a:xfrm xmlns:a="http://schemas.openxmlformats.org/drawingml/2006/main">
          <a:off x="1862224" y="1463374"/>
          <a:ext cx="818205" cy="68436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500" b="0" i="0">
              <a:latin typeface="Inter Variable Text Light" panose="02000503000000020004" pitchFamily="2" charset="0"/>
              <a:ea typeface="Inter Variable Text Light" panose="02000503000000020004" pitchFamily="2" charset="0"/>
              <a:cs typeface="Inter Variable Text Light" panose="02000503000000020004" pitchFamily="2" charset="0"/>
            </a:rPr>
            <a:t>Despite a strong +0.83 xGD per game, LAFC significantly </a:t>
          </a:r>
          <a:r>
            <a:rPr lang="en-US" sz="500" b="1" i="0">
              <a:latin typeface="Inter Variable Text Light" panose="02000503000000020004" pitchFamily="2" charset="0"/>
              <a:ea typeface="Inter Variable Text Light" panose="02000503000000020004" pitchFamily="2" charset="0"/>
              <a:cs typeface="Inter Variable Text Light" panose="02000503000000020004" pitchFamily="2" charset="0"/>
            </a:rPr>
            <a:t>underperformed</a:t>
          </a:r>
          <a:r>
            <a:rPr lang="en-US" sz="500" b="1" i="0" baseline="0">
              <a:latin typeface="Inter Variable Text Light" panose="02000503000000020004" pitchFamily="2" charset="0"/>
              <a:ea typeface="Inter Variable Text Light" panose="02000503000000020004" pitchFamily="2" charset="0"/>
              <a:cs typeface="Inter Variable Text Light" panose="02000503000000020004" pitchFamily="2" charset="0"/>
            </a:rPr>
            <a:t> </a:t>
          </a:r>
          <a:r>
            <a:rPr lang="en-US" sz="500" b="0" i="0" baseline="0">
              <a:latin typeface="Inter Variable Text Light" panose="02000503000000020004" pitchFamily="2" charset="0"/>
              <a:ea typeface="Inter Variable Text Light" panose="02000503000000020004" pitchFamily="2" charset="0"/>
              <a:cs typeface="Inter Variable Text Light" panose="02000503000000020004" pitchFamily="2" charset="0"/>
            </a:rPr>
            <a:t>while Carlos Vela was on the pitch.</a:t>
          </a:r>
          <a:endParaRPr lang="en-US" sz="500" b="1" i="0">
            <a:latin typeface="Inter Variable Text Light" panose="02000503000000020004" pitchFamily="2" charset="0"/>
            <a:ea typeface="Inter Variable Text Light" panose="02000503000000020004" pitchFamily="2" charset="0"/>
            <a:cs typeface="Inter Variable Text Light" panose="02000503000000020004" pitchFamily="2" charset="0"/>
          </a:endParaRPr>
        </a:p>
      </cdr:txBody>
    </cdr:sp>
  </cdr:relSizeAnchor>
  <cdr:relSizeAnchor xmlns:cdr="http://schemas.openxmlformats.org/drawingml/2006/chartDrawing">
    <cdr:from>
      <cdr:x>0.04855</cdr:x>
      <cdr:y>0.06713</cdr:y>
    </cdr:from>
    <cdr:to>
      <cdr:x>0.64266</cdr:x>
      <cdr:y>0.11399</cdr:y>
    </cdr:to>
    <cdr:sp macro="" textlink="">
      <cdr:nvSpPr>
        <cdr:cNvPr id="5" name="TextBox 5">
          <a:extLst xmlns:a="http://schemas.openxmlformats.org/drawingml/2006/main">
            <a:ext uri="{FF2B5EF4-FFF2-40B4-BE49-F238E27FC236}">
              <a16:creationId xmlns:a16="http://schemas.microsoft.com/office/drawing/2014/main" id="{9953BEA5-46A0-C743-AE3E-5BC2169B0001}"/>
            </a:ext>
          </a:extLst>
        </cdr:cNvPr>
        <cdr:cNvSpPr txBox="1"/>
      </cdr:nvSpPr>
      <cdr:spPr>
        <a:xfrm xmlns:a="http://schemas.openxmlformats.org/drawingml/2006/main">
          <a:off x="227231" y="198303"/>
          <a:ext cx="2780396" cy="138431"/>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500" b="0" i="0">
              <a:latin typeface="Inter Variable Text ExtraLight" panose="02000503000000020004" pitchFamily="2" charset="0"/>
              <a:ea typeface="Inter Variable Text ExtraLight" panose="02000503000000020004" pitchFamily="2" charset="0"/>
              <a:cs typeface="Inter Variable Text ExtraLight" panose="02000503000000020004" pitchFamily="2" charset="0"/>
            </a:rPr>
            <a:t>*Includes only</a:t>
          </a:r>
          <a:r>
            <a:rPr lang="en-US" sz="500" b="0" i="0" baseline="0">
              <a:latin typeface="Inter Variable Text ExtraLight" panose="02000503000000020004" pitchFamily="2" charset="0"/>
              <a:ea typeface="Inter Variable Text ExtraLight" panose="02000503000000020004" pitchFamily="2" charset="0"/>
              <a:cs typeface="Inter Variable Text ExtraLight" panose="02000503000000020004" pitchFamily="2" charset="0"/>
            </a:rPr>
            <a:t> </a:t>
          </a:r>
          <a:r>
            <a:rPr lang="en-US" sz="500" b="0" i="0">
              <a:latin typeface="Inter Variable Text ExtraLight" panose="02000503000000020004" pitchFamily="2" charset="0"/>
              <a:ea typeface="Inter Variable Text ExtraLight" panose="02000503000000020004" pitchFamily="2" charset="0"/>
              <a:cs typeface="Inter Variable Text ExtraLight" panose="02000503000000020004" pitchFamily="2" charset="0"/>
            </a:rPr>
            <a:t>MLS regular-season and playoff matches in which Carlos Vela played</a:t>
          </a:r>
        </a:p>
      </cdr:txBody>
    </cdr:sp>
  </cdr:relSizeAnchor>
</c:userShapes>
</file>

<file path=xl/drawings/drawing3.xml><?xml version="1.0" encoding="utf-8"?>
<c:userShapes xmlns:c="http://schemas.openxmlformats.org/drawingml/2006/chart">
  <cdr:relSizeAnchor xmlns:cdr="http://schemas.openxmlformats.org/drawingml/2006/chartDrawing">
    <cdr:from>
      <cdr:x>0.16768</cdr:x>
      <cdr:y>0.77717</cdr:y>
    </cdr:from>
    <cdr:to>
      <cdr:x>0.89121</cdr:x>
      <cdr:y>0.77828</cdr:y>
    </cdr:to>
    <cdr:cxnSp macro="">
      <cdr:nvCxnSpPr>
        <cdr:cNvPr id="3" name="Straight Connector 2">
          <a:extLst xmlns:a="http://schemas.openxmlformats.org/drawingml/2006/main">
            <a:ext uri="{FF2B5EF4-FFF2-40B4-BE49-F238E27FC236}">
              <a16:creationId xmlns:a16="http://schemas.microsoft.com/office/drawing/2014/main" id="{8CE71874-4EA3-1698-04D5-C627ECAB91D0}"/>
            </a:ext>
          </a:extLst>
        </cdr:cNvPr>
        <cdr:cNvCxnSpPr/>
      </cdr:nvCxnSpPr>
      <cdr:spPr>
        <a:xfrm xmlns:a="http://schemas.openxmlformats.org/drawingml/2006/main">
          <a:off x="544672" y="1667704"/>
          <a:ext cx="2350202" cy="2382"/>
        </a:xfrm>
        <a:prstGeom xmlns:a="http://schemas.openxmlformats.org/drawingml/2006/main" prst="line">
          <a:avLst/>
        </a:prstGeom>
        <a:ln xmlns:a="http://schemas.openxmlformats.org/drawingml/2006/main" w="3175" cmpd="sng">
          <a:solidFill>
            <a:schemeClr val="bg2">
              <a:lumMod val="75000"/>
            </a:schemeClr>
          </a:solidFill>
          <a:prstDash val="dash"/>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0.56295</cdr:x>
      <cdr:y>0.1459</cdr:y>
    </cdr:from>
    <cdr:to>
      <cdr:x>0.56345</cdr:x>
      <cdr:y>0.93776</cdr:y>
    </cdr:to>
    <cdr:cxnSp macro="">
      <cdr:nvCxnSpPr>
        <cdr:cNvPr id="2" name="Straight Connector 1">
          <a:extLst xmlns:a="http://schemas.openxmlformats.org/drawingml/2006/main">
            <a:ext uri="{FF2B5EF4-FFF2-40B4-BE49-F238E27FC236}">
              <a16:creationId xmlns:a16="http://schemas.microsoft.com/office/drawing/2014/main" id="{8FD2EEFF-A229-4274-01DF-B57842515DE3}"/>
            </a:ext>
          </a:extLst>
        </cdr:cNvPr>
        <cdr:cNvCxnSpPr/>
      </cdr:nvCxnSpPr>
      <cdr:spPr>
        <a:xfrm xmlns:a="http://schemas.openxmlformats.org/drawingml/2006/main">
          <a:off x="1831452" y="313444"/>
          <a:ext cx="1626" cy="1701241"/>
        </a:xfrm>
        <a:prstGeom xmlns:a="http://schemas.openxmlformats.org/drawingml/2006/main" prst="line">
          <a:avLst/>
        </a:prstGeom>
        <a:ln xmlns:a="http://schemas.openxmlformats.org/drawingml/2006/main">
          <a:solidFill>
            <a:schemeClr val="bg2">
              <a:lumMod val="75000"/>
            </a:schemeClr>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0.81754</cdr:x>
      <cdr:y>0.27424</cdr:y>
    </cdr:from>
    <cdr:to>
      <cdr:x>0.81763</cdr:x>
      <cdr:y>0.77487</cdr:y>
    </cdr:to>
    <cdr:cxnSp macro="">
      <cdr:nvCxnSpPr>
        <cdr:cNvPr id="9" name="Straight Arrow Connector 8">
          <a:extLst xmlns:a="http://schemas.openxmlformats.org/drawingml/2006/main">
            <a:ext uri="{FF2B5EF4-FFF2-40B4-BE49-F238E27FC236}">
              <a16:creationId xmlns:a16="http://schemas.microsoft.com/office/drawing/2014/main" id="{466C0B05-80DA-C714-63E6-4CFDBDF8E85D}"/>
            </a:ext>
          </a:extLst>
        </cdr:cNvPr>
        <cdr:cNvCxnSpPr/>
      </cdr:nvCxnSpPr>
      <cdr:spPr>
        <a:xfrm xmlns:a="http://schemas.openxmlformats.org/drawingml/2006/main">
          <a:off x="2372118" y="564157"/>
          <a:ext cx="265" cy="1029872"/>
        </a:xfrm>
        <a:prstGeom xmlns:a="http://schemas.openxmlformats.org/drawingml/2006/main" prst="straightConnector1">
          <a:avLst/>
        </a:prstGeom>
        <a:ln xmlns:a="http://schemas.openxmlformats.org/drawingml/2006/main" w="12700" cap="flat">
          <a:solidFill>
            <a:schemeClr val="tx1">
              <a:lumMod val="75000"/>
              <a:lumOff val="25000"/>
            </a:schemeClr>
          </a:solidFill>
          <a:miter lim="800000"/>
          <a:tailEnd type="triangle"/>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dr:relSizeAnchor xmlns:cdr="http://schemas.openxmlformats.org/drawingml/2006/chartDrawing">
    <cdr:from>
      <cdr:x>0.23742</cdr:x>
      <cdr:y>0.89487</cdr:y>
    </cdr:from>
    <cdr:to>
      <cdr:x>0.46545</cdr:x>
      <cdr:y>0.96437</cdr:y>
    </cdr:to>
    <cdr:sp macro="" textlink="">
      <cdr:nvSpPr>
        <cdr:cNvPr id="10" name="TextBox 15">
          <a:extLst xmlns:a="http://schemas.openxmlformats.org/drawingml/2006/main">
            <a:ext uri="{FF2B5EF4-FFF2-40B4-BE49-F238E27FC236}">
              <a16:creationId xmlns:a16="http://schemas.microsoft.com/office/drawing/2014/main" id="{D761F0D9-A257-4E37-CB0B-D91D083C8BB4}"/>
            </a:ext>
          </a:extLst>
        </cdr:cNvPr>
        <cdr:cNvSpPr txBox="1"/>
      </cdr:nvSpPr>
      <cdr:spPr>
        <a:xfrm xmlns:a="http://schemas.openxmlformats.org/drawingml/2006/main">
          <a:off x="771210" y="1920276"/>
          <a:ext cx="740698" cy="14913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600" b="0" i="0">
              <a:latin typeface="Inter Variable Text Light" panose="02000503000000020004" pitchFamily="2" charset="0"/>
              <a:ea typeface="Inter Variable Text Light" panose="02000503000000020004" pitchFamily="2" charset="0"/>
              <a:cs typeface="Inter Variable Text Light" panose="02000503000000020004" pitchFamily="2" charset="0"/>
            </a:rPr>
            <a:t>Without Vela</a:t>
          </a:r>
        </a:p>
      </cdr:txBody>
    </cdr:sp>
  </cdr:relSizeAnchor>
  <cdr:relSizeAnchor xmlns:cdr="http://schemas.openxmlformats.org/drawingml/2006/chartDrawing">
    <cdr:from>
      <cdr:x>0.68303</cdr:x>
      <cdr:y>0.89361</cdr:y>
    </cdr:from>
    <cdr:to>
      <cdr:x>0.90761</cdr:x>
      <cdr:y>0.98292</cdr:y>
    </cdr:to>
    <cdr:sp macro="" textlink="">
      <cdr:nvSpPr>
        <cdr:cNvPr id="11" name="TextBox 16">
          <a:extLst xmlns:a="http://schemas.openxmlformats.org/drawingml/2006/main">
            <a:ext uri="{FF2B5EF4-FFF2-40B4-BE49-F238E27FC236}">
              <a16:creationId xmlns:a16="http://schemas.microsoft.com/office/drawing/2014/main" id="{3BB9AEA3-190D-C946-212C-5E1C1028CE70}"/>
            </a:ext>
          </a:extLst>
        </cdr:cNvPr>
        <cdr:cNvSpPr txBox="1"/>
      </cdr:nvSpPr>
      <cdr:spPr>
        <a:xfrm xmlns:a="http://schemas.openxmlformats.org/drawingml/2006/main">
          <a:off x="2218653" y="1917572"/>
          <a:ext cx="729491" cy="19164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600" b="0" i="0">
              <a:latin typeface="Inter Variable Text Light" panose="02000503000000020004" pitchFamily="2" charset="0"/>
              <a:ea typeface="Inter Variable Text Light" panose="02000503000000020004" pitchFamily="2" charset="0"/>
              <a:cs typeface="Inter Variable Text Light" panose="02000503000000020004" pitchFamily="2" charset="0"/>
            </a:rPr>
            <a:t> With Vela</a:t>
          </a:r>
        </a:p>
      </cdr:txBody>
    </cdr:sp>
  </cdr:relSizeAnchor>
  <cdr:relSizeAnchor xmlns:cdr="http://schemas.openxmlformats.org/drawingml/2006/chartDrawing">
    <cdr:from>
      <cdr:x>0.31621</cdr:x>
      <cdr:y>0.53742</cdr:y>
    </cdr:from>
    <cdr:to>
      <cdr:x>0.46735</cdr:x>
      <cdr:y>0.59848</cdr:y>
    </cdr:to>
    <cdr:sp macro="" textlink="">
      <cdr:nvSpPr>
        <cdr:cNvPr id="17" name="TextBox 4">
          <a:extLst xmlns:a="http://schemas.openxmlformats.org/drawingml/2006/main">
            <a:ext uri="{FF2B5EF4-FFF2-40B4-BE49-F238E27FC236}">
              <a16:creationId xmlns:a16="http://schemas.microsoft.com/office/drawing/2014/main" id="{E9890FD9-6E08-A555-DA9B-BD64074DC122}"/>
            </a:ext>
          </a:extLst>
        </cdr:cNvPr>
        <cdr:cNvSpPr txBox="1"/>
      </cdr:nvSpPr>
      <cdr:spPr>
        <a:xfrm xmlns:a="http://schemas.openxmlformats.org/drawingml/2006/main">
          <a:off x="1025530" y="1159840"/>
          <a:ext cx="490154" cy="13178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500" b="0" i="0">
              <a:latin typeface="Inter Variable Text Light" panose="02000503000000020004" pitchFamily="2" charset="0"/>
              <a:ea typeface="Inter Variable Text Light" panose="02000503000000020004" pitchFamily="2" charset="0"/>
              <a:cs typeface="Inter Variable Text Light" panose="02000503000000020004" pitchFamily="2" charset="0"/>
            </a:rPr>
            <a:t>GD +0.29</a:t>
          </a:r>
        </a:p>
      </cdr:txBody>
    </cdr:sp>
  </cdr:relSizeAnchor>
  <cdr:relSizeAnchor xmlns:cdr="http://schemas.openxmlformats.org/drawingml/2006/chartDrawing">
    <cdr:from>
      <cdr:x>0.21087</cdr:x>
      <cdr:y>0.51291</cdr:y>
    </cdr:from>
    <cdr:to>
      <cdr:x>0.3737</cdr:x>
      <cdr:y>0.57352</cdr:y>
    </cdr:to>
    <cdr:sp macro="" textlink="">
      <cdr:nvSpPr>
        <cdr:cNvPr id="18" name="TextBox 4">
          <a:extLst xmlns:a="http://schemas.openxmlformats.org/drawingml/2006/main">
            <a:ext uri="{FF2B5EF4-FFF2-40B4-BE49-F238E27FC236}">
              <a16:creationId xmlns:a16="http://schemas.microsoft.com/office/drawing/2014/main" id="{E9890FD9-6E08-A555-DA9B-BD64074DC122}"/>
            </a:ext>
          </a:extLst>
        </cdr:cNvPr>
        <cdr:cNvSpPr txBox="1"/>
      </cdr:nvSpPr>
      <cdr:spPr>
        <a:xfrm xmlns:a="http://schemas.openxmlformats.org/drawingml/2006/main">
          <a:off x="683889" y="1106949"/>
          <a:ext cx="528071" cy="13080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500" b="0" i="0">
              <a:latin typeface="Inter Variable Text Light" panose="02000503000000020004" pitchFamily="2" charset="0"/>
              <a:ea typeface="Inter Variable Text Light" panose="02000503000000020004" pitchFamily="2" charset="0"/>
              <a:cs typeface="Inter Variable Text Light" panose="02000503000000020004" pitchFamily="2" charset="0"/>
            </a:rPr>
            <a:t>xGD +0.32</a:t>
          </a:r>
        </a:p>
      </cdr:txBody>
    </cdr:sp>
  </cdr:relSizeAnchor>
  <cdr:relSizeAnchor xmlns:cdr="http://schemas.openxmlformats.org/drawingml/2006/chartDrawing">
    <cdr:from>
      <cdr:x>0.04288</cdr:x>
      <cdr:y>0.06248</cdr:y>
    </cdr:from>
    <cdr:to>
      <cdr:x>0.90311</cdr:x>
      <cdr:y>0.12669</cdr:y>
    </cdr:to>
    <cdr:sp macro="" textlink="">
      <cdr:nvSpPr>
        <cdr:cNvPr id="19" name="TextBox 5">
          <a:extLst xmlns:a="http://schemas.openxmlformats.org/drawingml/2006/main">
            <a:ext uri="{FF2B5EF4-FFF2-40B4-BE49-F238E27FC236}">
              <a16:creationId xmlns:a16="http://schemas.microsoft.com/office/drawing/2014/main" id="{47B54AA1-3320-46FF-A359-6CD871D9CB44}"/>
            </a:ext>
          </a:extLst>
        </cdr:cNvPr>
        <cdr:cNvSpPr txBox="1"/>
      </cdr:nvSpPr>
      <cdr:spPr>
        <a:xfrm xmlns:a="http://schemas.openxmlformats.org/drawingml/2006/main">
          <a:off x="139284" y="134079"/>
          <a:ext cx="2794224" cy="137777"/>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400" b="0" i="0">
              <a:latin typeface="Inter Variable Text ExtraLight" panose="02000503000000020004" pitchFamily="2" charset="0"/>
              <a:ea typeface="Inter Variable Text ExtraLight" panose="02000503000000020004" pitchFamily="2" charset="0"/>
              <a:cs typeface="Inter Variable Text ExtraLight" panose="02000503000000020004" pitchFamily="2" charset="0"/>
            </a:rPr>
            <a:t>2021 MLS regular-season and playoff matches</a:t>
          </a:r>
        </a:p>
      </cdr:txBody>
    </cdr:sp>
  </cdr:relSizeAnchor>
</c:userShapes>
</file>

<file path=xl/drawings/drawing4.xml><?xml version="1.0" encoding="utf-8"?>
<c:userShapes xmlns:c="http://schemas.openxmlformats.org/drawingml/2006/chart">
  <cdr:relSizeAnchor xmlns:cdr="http://schemas.openxmlformats.org/drawingml/2006/chartDrawing">
    <cdr:from>
      <cdr:x>0.05563</cdr:x>
      <cdr:y>0.06087</cdr:y>
    </cdr:from>
    <cdr:to>
      <cdr:x>0.41058</cdr:x>
      <cdr:y>0.12411</cdr:y>
    </cdr:to>
    <cdr:sp macro="" textlink="">
      <cdr:nvSpPr>
        <cdr:cNvPr id="2" name="TextBox 1">
          <a:extLst xmlns:a="http://schemas.openxmlformats.org/drawingml/2006/main">
            <a:ext uri="{FF2B5EF4-FFF2-40B4-BE49-F238E27FC236}">
              <a16:creationId xmlns:a16="http://schemas.microsoft.com/office/drawing/2014/main" id="{D91A6DAB-4A66-8C88-CBBA-6F9DF4C68F39}"/>
            </a:ext>
          </a:extLst>
        </cdr:cNvPr>
        <cdr:cNvSpPr txBox="1"/>
      </cdr:nvSpPr>
      <cdr:spPr>
        <a:xfrm xmlns:a="http://schemas.openxmlformats.org/drawingml/2006/main">
          <a:off x="252579" y="164598"/>
          <a:ext cx="1611420" cy="1710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500" b="0" i="0" kern="1200">
              <a:latin typeface="Inter Variable Text ExtraLight" panose="02000503000000020004" pitchFamily="2" charset="0"/>
              <a:ea typeface="Inter Variable Text ExtraLight" panose="02000503000000020004" pitchFamily="2" charset="0"/>
              <a:cs typeface="Inter Variable Text ExtraLight" panose="02000503000000020004" pitchFamily="2" charset="0"/>
            </a:rPr>
            <a:t>MLS</a:t>
          </a:r>
          <a:r>
            <a:rPr lang="en-US" sz="500" b="0" i="0" kern="1200" baseline="0">
              <a:latin typeface="Inter Variable Text ExtraLight" panose="02000503000000020004" pitchFamily="2" charset="0"/>
              <a:ea typeface="Inter Variable Text ExtraLight" panose="02000503000000020004" pitchFamily="2" charset="0"/>
              <a:cs typeface="Inter Variable Text ExtraLight" panose="02000503000000020004" pitchFamily="2" charset="0"/>
            </a:rPr>
            <a:t> Regular Season and Playoff Matches</a:t>
          </a:r>
          <a:endParaRPr lang="en-US" sz="500" b="0" i="0" kern="1200">
            <a:latin typeface="Inter Variable Text ExtraLight" panose="02000503000000020004" pitchFamily="2" charset="0"/>
            <a:ea typeface="Inter Variable Text ExtraLight" panose="02000503000000020004" pitchFamily="2" charset="0"/>
            <a:cs typeface="Inter Variable Text ExtraLight" panose="02000503000000020004" pitchFamily="2" charset="0"/>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748548</xdr:colOff>
      <xdr:row>1</xdr:row>
      <xdr:rowOff>28905</xdr:rowOff>
    </xdr:from>
    <xdr:to>
      <xdr:col>9</xdr:col>
      <xdr:colOff>15572</xdr:colOff>
      <xdr:row>14</xdr:row>
      <xdr:rowOff>104341</xdr:rowOff>
    </xdr:to>
    <xdr:graphicFrame macro="">
      <xdr:nvGraphicFramePr>
        <xdr:cNvPr id="2" name="Chart 1">
          <a:extLst>
            <a:ext uri="{FF2B5EF4-FFF2-40B4-BE49-F238E27FC236}">
              <a16:creationId xmlns:a16="http://schemas.microsoft.com/office/drawing/2014/main" id="{0F3D8A58-D605-65FF-F4DB-88F4AEE33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425082</xdr:colOff>
      <xdr:row>16</xdr:row>
      <xdr:rowOff>199675</xdr:rowOff>
    </xdr:from>
    <xdr:to>
      <xdr:col>12</xdr:col>
      <xdr:colOff>170935</xdr:colOff>
      <xdr:row>29</xdr:row>
      <xdr:rowOff>171275</xdr:rowOff>
    </xdr:to>
    <mc:AlternateContent xmlns:mc="http://schemas.openxmlformats.org/markup-compatibility/2006" xmlns:a14="http://schemas.microsoft.com/office/drawing/2010/main">
      <mc:Choice Requires="a14">
        <xdr:graphicFrame macro="">
          <xdr:nvGraphicFramePr>
            <xdr:cNvPr id="8" name="Season">
              <a:extLst>
                <a:ext uri="{FF2B5EF4-FFF2-40B4-BE49-F238E27FC236}">
                  <a16:creationId xmlns:a16="http://schemas.microsoft.com/office/drawing/2014/main" id="{91DCC3FB-FD00-4AC1-1B68-CBBC4DA5069D}"/>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229851" y="3325829"/>
              <a:ext cx="1798326" cy="251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1322428</xdr:colOff>
      <xdr:row>1</xdr:row>
      <xdr:rowOff>196977</xdr:rowOff>
    </xdr:from>
    <xdr:to>
      <xdr:col>22</xdr:col>
      <xdr:colOff>1129345</xdr:colOff>
      <xdr:row>15</xdr:row>
      <xdr:rowOff>100316</xdr:rowOff>
    </xdr:to>
    <xdr:graphicFrame macro="">
      <xdr:nvGraphicFramePr>
        <xdr:cNvPr id="3" name="Chart 2">
          <a:extLst>
            <a:ext uri="{FF2B5EF4-FFF2-40B4-BE49-F238E27FC236}">
              <a16:creationId xmlns:a16="http://schemas.microsoft.com/office/drawing/2014/main" id="{D210F261-A8FC-6DBB-ECD2-3A789457F0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105063</xdr:colOff>
      <xdr:row>36</xdr:row>
      <xdr:rowOff>95249</xdr:rowOff>
    </xdr:from>
    <xdr:to>
      <xdr:col>5</xdr:col>
      <xdr:colOff>831945</xdr:colOff>
      <xdr:row>50</xdr:row>
      <xdr:rowOff>9812</xdr:rowOff>
    </xdr:to>
    <xdr:graphicFrame macro="">
      <xdr:nvGraphicFramePr>
        <xdr:cNvPr id="5" name="Chart 4">
          <a:extLst>
            <a:ext uri="{FF2B5EF4-FFF2-40B4-BE49-F238E27FC236}">
              <a16:creationId xmlns:a16="http://schemas.microsoft.com/office/drawing/2014/main" id="{7B47DCC2-1C9A-C280-0E23-7BFE50D787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194732</xdr:colOff>
      <xdr:row>2</xdr:row>
      <xdr:rowOff>63500</xdr:rowOff>
    </xdr:from>
    <xdr:to>
      <xdr:col>17</xdr:col>
      <xdr:colOff>736600</xdr:colOff>
      <xdr:row>15</xdr:row>
      <xdr:rowOff>165100</xdr:rowOff>
    </xdr:to>
    <xdr:graphicFrame macro="">
      <xdr:nvGraphicFramePr>
        <xdr:cNvPr id="6" name="Chart 5">
          <a:extLst>
            <a:ext uri="{FF2B5EF4-FFF2-40B4-BE49-F238E27FC236}">
              <a16:creationId xmlns:a16="http://schemas.microsoft.com/office/drawing/2014/main" id="{E944B645-8F2A-C351-0C4D-CEB249E5E5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189325</xdr:colOff>
      <xdr:row>36</xdr:row>
      <xdr:rowOff>39511</xdr:rowOff>
    </xdr:from>
    <xdr:to>
      <xdr:col>10</xdr:col>
      <xdr:colOff>774936</xdr:colOff>
      <xdr:row>49</xdr:row>
      <xdr:rowOff>183915</xdr:rowOff>
    </xdr:to>
    <xdr:graphicFrame macro="">
      <xdr:nvGraphicFramePr>
        <xdr:cNvPr id="9" name="Chart 8">
          <a:extLst>
            <a:ext uri="{FF2B5EF4-FFF2-40B4-BE49-F238E27FC236}">
              <a16:creationId xmlns:a16="http://schemas.microsoft.com/office/drawing/2014/main" id="{796E88CA-4377-8B45-2980-73B3C2B6E5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n Chapero" refreshedDate="46063.536092939816" createdVersion="8" refreshedVersion="8" minRefreshableVersion="3" recordCount="205" xr:uid="{710AC129-7B77-F643-BC75-EBF10FC56381}">
  <cacheSource type="worksheet">
    <worksheetSource ref="A1:Q1048576" sheet="Original_LAFC_combined_analysis"/>
  </cacheSource>
  <cacheFields count="17">
    <cacheField name="Composite_Key" numFmtId="0">
      <sharedItems containsBlank="1"/>
    </cacheField>
    <cacheField name="Matchday" numFmtId="0">
      <sharedItems containsString="0" containsBlank="1" containsNumber="1" containsInteger="1" minValue="1" maxValue="39"/>
    </cacheField>
    <cacheField name="Date" numFmtId="0">
      <sharedItems containsNonDate="0" containsDate="1" containsString="0" containsBlank="1" minDate="2018-03-04T00:00:00" maxDate="2023-12-10T00:00:00"/>
    </cacheField>
    <cacheField name="Comp" numFmtId="0">
      <sharedItems containsBlank="1"/>
    </cacheField>
    <cacheField name="Season" numFmtId="0">
      <sharedItems containsString="0" containsBlank="1" containsNumber="1" containsInteger="1" minValue="2018" maxValue="2023" count="7">
        <n v="2018"/>
        <n v="2019"/>
        <n v="2020"/>
        <n v="2021"/>
        <n v="2022"/>
        <n v="2023"/>
        <m/>
      </sharedItems>
    </cacheField>
    <cacheField name="Round" numFmtId="0">
      <sharedItems containsBlank="1"/>
    </cacheField>
    <cacheField name="Opponent" numFmtId="0">
      <sharedItems containsBlank="1"/>
    </cacheField>
    <cacheField name="Venue" numFmtId="0">
      <sharedItems containsBlank="1" count="3">
        <s v="Away"/>
        <s v="Home"/>
        <m/>
      </sharedItems>
    </cacheField>
    <cacheField name="Result" numFmtId="0">
      <sharedItems containsBlank="1" count="4">
        <s v="W"/>
        <s v="L"/>
        <s v="D"/>
        <m/>
      </sharedItems>
    </cacheField>
    <cacheField name="GF" numFmtId="0">
      <sharedItems containsString="0" containsBlank="1" containsNumber="1" containsInteger="1" minValue="0" maxValue="6"/>
    </cacheField>
    <cacheField name="GA" numFmtId="0">
      <sharedItems containsString="0" containsBlank="1" containsNumber="1" containsInteger="1" minValue="0" maxValue="5"/>
    </cacheField>
    <cacheField name="GD" numFmtId="0">
      <sharedItems containsString="0" containsBlank="1" containsNumber="1" containsInteger="1" minValue="-5" maxValue="6"/>
    </cacheField>
    <cacheField name="xG" numFmtId="0">
      <sharedItems containsString="0" containsBlank="1" containsNumber="1" minValue="0" maxValue="5.0999999999999996"/>
    </cacheField>
    <cacheField name="xGA" numFmtId="0">
      <sharedItems containsString="0" containsBlank="1" containsNumber="1" minValue="0.2" maxValue="3.9"/>
    </cacheField>
    <cacheField name="xGD" numFmtId="0">
      <sharedItems containsString="0" containsBlank="1" containsNumber="1" minValue="-3.3" maxValue="3.9"/>
    </cacheField>
    <cacheField name="xGD - GD" numFmtId="0">
      <sharedItems containsString="0" containsBlank="1" containsNumber="1" minValue="-5.5" maxValue="4.3"/>
    </cacheField>
    <cacheField name="Vela_Minutes_Played" numFmtId="0">
      <sharedItems containsString="0" containsBlank="1" containsNumber="1" containsInteger="1" minValue="0" maxValue="97"/>
    </cacheField>
  </cacheFields>
  <extLst>
    <ext xmlns:x14="http://schemas.microsoft.com/office/spreadsheetml/2009/9/main" uri="{725AE2AE-9491-48be-B2B4-4EB974FC3084}">
      <x14:pivotCacheDefinition pivotCacheId="39098591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han Chapero" refreshedDate="46063.536093171293" createdVersion="8" refreshedVersion="8" minRefreshableVersion="3" recordCount="204" xr:uid="{542F2AA6-7000-4345-B6F5-BD52178C4FA0}">
  <cacheSource type="worksheet">
    <worksheetSource name="combined_all_matches"/>
  </cacheSource>
  <cacheFields count="30">
    <cacheField name="Composite_Key" numFmtId="0">
      <sharedItems/>
    </cacheField>
    <cacheField name="Matchday" numFmtId="0">
      <sharedItems containsSemiMixedTypes="0" containsString="0" containsNumber="1" containsInteger="1" minValue="1" maxValue="39"/>
    </cacheField>
    <cacheField name="Date" numFmtId="14">
      <sharedItems containsSemiMixedTypes="0" containsNonDate="0" containsDate="1" containsString="0" minDate="2018-03-04T00:00:00" maxDate="2023-12-10T00:00:00" count="204">
        <d v="2018-03-04T00:00:00"/>
        <d v="2018-03-10T00:00:00"/>
        <d v="2018-03-31T00:00:00"/>
        <d v="2018-04-07T00:00:00"/>
        <d v="2018-04-13T00:00:00"/>
        <d v="2018-04-21T00:00:00"/>
        <d v="2018-04-29T00:00:00"/>
        <d v="2018-05-05T00:00:00"/>
        <d v="2018-05-09T00:00:00"/>
        <d v="2018-05-13T00:00:00"/>
        <d v="2018-05-19T00:00:00"/>
        <d v="2018-05-26T00:00:00"/>
        <d v="2018-06-02T00:00:00"/>
        <d v="2018-06-09T00:00:00"/>
        <d v="2018-06-23T00:00:00"/>
        <d v="2018-06-30T00:00:00"/>
        <d v="2018-07-03T00:00:00"/>
        <d v="2018-07-07T00:00:00"/>
        <d v="2018-07-15T00:00:00"/>
        <d v="2018-07-22T00:00:00"/>
        <d v="2018-07-26T00:00:00"/>
        <d v="2018-08-05T00:00:00"/>
        <d v="2018-08-11T00:00:00"/>
        <d v="2018-08-15T00:00:00"/>
        <d v="2018-08-19T00:00:00"/>
        <d v="2018-08-24T00:00:00"/>
        <d v="2018-09-01T00:00:00"/>
        <d v="2018-09-15T00:00:00"/>
        <d v="2018-09-22T00:00:00"/>
        <d v="2018-09-29T00:00:00"/>
        <d v="2018-10-06T00:00:00"/>
        <d v="2018-10-12T00:00:00"/>
        <d v="2018-10-21T00:00:00"/>
        <d v="2018-10-28T00:00:00"/>
        <d v="2018-11-01T00:00:00"/>
        <d v="2019-03-03T00:00:00"/>
        <d v="2019-03-10T00:00:00"/>
        <d v="2019-03-17T00:00:00"/>
        <d v="2019-03-23T00:00:00"/>
        <d v="2019-03-30T00:00:00"/>
        <d v="2019-04-06T00:00:00"/>
        <d v="2019-04-13T00:00:00"/>
        <d v="2019-04-17T00:00:00"/>
        <d v="2019-04-21T00:00:00"/>
        <d v="2019-04-28T00:00:00"/>
        <d v="2019-05-04T00:00:00"/>
        <d v="2019-05-11T00:00:00"/>
        <d v="2019-05-16T00:00:00"/>
        <d v="2019-05-19T00:00:00"/>
        <d v="2019-05-24T00:00:00"/>
        <d v="2019-06-01T00:00:00"/>
        <d v="2019-06-28T00:00:00"/>
        <d v="2019-07-03T00:00:00"/>
        <d v="2019-07-06T00:00:00"/>
        <d v="2019-07-12T00:00:00"/>
        <d v="2019-07-19T00:00:00"/>
        <d v="2019-07-26T00:00:00"/>
        <d v="2019-08-03T00:00:00"/>
        <d v="2019-08-11T00:00:00"/>
        <d v="2019-08-17T00:00:00"/>
        <d v="2019-08-21T00:00:00"/>
        <d v="2019-08-25T00:00:00"/>
        <d v="2019-09-01T00:00:00"/>
        <d v="2019-09-07T00:00:00"/>
        <d v="2019-09-14T00:00:00"/>
        <d v="2019-09-21T00:00:00"/>
        <d v="2019-09-25T00:00:00"/>
        <d v="2019-09-29T00:00:00"/>
        <d v="2019-10-06T00:00:00"/>
        <d v="2019-10-24T00:00:00"/>
        <d v="2019-10-29T00:00:00"/>
        <d v="2020-03-01T00:00:00"/>
        <d v="2020-03-08T00:00:00"/>
        <d v="2020-07-13T00:00:00"/>
        <d v="2020-07-18T00:00:00"/>
        <d v="2020-07-23T00:00:00"/>
        <d v="2020-08-22T00:00:00"/>
        <d v="2020-08-30T00:00:00"/>
        <d v="2020-09-02T00:00:00"/>
        <d v="2020-09-06T00:00:00"/>
        <d v="2020-09-09T00:00:00"/>
        <d v="2020-09-13T00:00:00"/>
        <d v="2020-09-18T00:00:00"/>
        <d v="2020-09-23T00:00:00"/>
        <d v="2020-09-27T00:00:00"/>
        <d v="2020-10-04T00:00:00"/>
        <d v="2020-10-11T00:00:00"/>
        <d v="2020-10-14T00:00:00"/>
        <d v="2020-10-18T00:00:00"/>
        <d v="2020-10-25T00:00:00"/>
        <d v="2020-10-28T00:00:00"/>
        <d v="2020-11-04T00:00:00"/>
        <d v="2020-11-08T00:00:00"/>
        <d v="2020-11-24T00:00:00"/>
        <d v="2021-04-17T00:00:00"/>
        <d v="2021-04-24T00:00:00"/>
        <d v="2021-05-01T00:00:00"/>
        <d v="2021-05-08T00:00:00"/>
        <d v="2021-05-16T00:00:00"/>
        <d v="2021-05-22T00:00:00"/>
        <d v="2021-05-29T00:00:00"/>
        <d v="2021-06-19T00:00:00"/>
        <d v="2021-06-23T00:00:00"/>
        <d v="2021-06-26T00:00:00"/>
        <d v="2021-07-03T00:00:00"/>
        <d v="2021-07-07T00:00:00"/>
        <d v="2021-07-17T00:00:00"/>
        <d v="2021-07-21T00:00:00"/>
        <d v="2021-07-24T00:00:00"/>
        <d v="2021-07-28T00:00:00"/>
        <d v="2021-08-04T00:00:00"/>
        <d v="2021-08-08T00:00:00"/>
        <d v="2021-08-15T00:00:00"/>
        <d v="2021-08-21T00:00:00"/>
        <d v="2021-08-28T00:00:00"/>
        <d v="2021-09-03T00:00:00"/>
        <d v="2021-09-12T00:00:00"/>
        <d v="2021-09-15T00:00:00"/>
        <d v="2021-09-19T00:00:00"/>
        <d v="2021-09-25T00:00:00"/>
        <d v="2021-09-29T00:00:00"/>
        <d v="2021-10-03T00:00:00"/>
        <d v="2021-10-16T00:00:00"/>
        <d v="2021-10-20T00:00:00"/>
        <d v="2021-10-23T00:00:00"/>
        <d v="2021-10-26T00:00:00"/>
        <d v="2021-11-02T00:00:00"/>
        <d v="2021-11-07T00:00:00"/>
        <d v="2022-02-26T00:00:00"/>
        <d v="2022-03-06T00:00:00"/>
        <d v="2022-03-12T00:00:00"/>
        <d v="2022-03-20T00:00:00"/>
        <d v="2022-04-02T00:00:00"/>
        <d v="2022-04-09T00:00:00"/>
        <d v="2022-04-17T00:00:00"/>
        <d v="2022-04-24T00:00:00"/>
        <d v="2022-05-01T00:00:00"/>
        <d v="2022-05-07T00:00:00"/>
        <d v="2022-05-14T00:00:00"/>
        <d v="2022-05-18T00:00:00"/>
        <d v="2022-05-21T00:00:00"/>
        <d v="2022-05-28T00:00:00"/>
        <d v="2022-06-18T00:00:00"/>
        <d v="2022-06-26T00:00:00"/>
        <d v="2022-06-29T00:00:00"/>
        <d v="2022-07-02T00:00:00"/>
        <d v="2022-07-08T00:00:00"/>
        <d v="2022-07-17T00:00:00"/>
        <d v="2022-07-23T00:00:00"/>
        <d v="2022-07-29T00:00:00"/>
        <d v="2022-08-06T00:00:00"/>
        <d v="2022-08-13T00:00:00"/>
        <d v="2022-08-16T00:00:00"/>
        <d v="2022-08-20T00:00:00"/>
        <d v="2022-08-26T00:00:00"/>
        <d v="2022-08-31T00:00:00"/>
        <d v="2022-09-04T00:00:00"/>
        <d v="2022-09-10T00:00:00"/>
        <d v="2022-09-13T00:00:00"/>
        <d v="2022-09-18T00:00:00"/>
        <d v="2022-10-02T00:00:00"/>
        <d v="2022-10-09T00:00:00"/>
        <d v="2022-10-20T00:00:00"/>
        <d v="2022-10-30T00:00:00"/>
        <d v="2022-11-05T00:00:00"/>
        <d v="2023-03-04T00:00:00"/>
        <d v="2023-03-12T00:00:00"/>
        <d v="2023-03-18T00:00:00"/>
        <d v="2023-03-25T00:00:00"/>
        <d v="2023-04-01T00:00:00"/>
        <d v="2023-04-08T00:00:00"/>
        <d v="2023-04-16T00:00:00"/>
        <d v="2023-04-22T00:00:00"/>
        <d v="2023-05-06T00:00:00"/>
        <d v="2023-05-13T00:00:00"/>
        <d v="2023-05-17T00:00:00"/>
        <d v="2023-05-20T00:00:00"/>
        <d v="2023-06-07T00:00:00"/>
        <d v="2023-06-10T00:00:00"/>
        <d v="2023-06-14T00:00:00"/>
        <d v="2023-06-17T00:00:00"/>
        <d v="2023-06-21T00:00:00"/>
        <d v="2023-06-24T00:00:00"/>
        <d v="2023-07-01T00:00:00"/>
        <d v="2023-07-04T00:00:00"/>
        <d v="2023-07-08T00:00:00"/>
        <d v="2023-07-12T00:00:00"/>
        <d v="2023-07-15T00:00:00"/>
        <d v="2023-08-23T00:00:00"/>
        <d v="2023-08-26T00:00:00"/>
        <d v="2023-09-03T00:00:00"/>
        <d v="2023-09-09T00:00:00"/>
        <d v="2023-09-16T00:00:00"/>
        <d v="2023-09-20T00:00:00"/>
        <d v="2023-09-23T00:00:00"/>
        <d v="2023-10-01T00:00:00"/>
        <d v="2023-10-04T00:00:00"/>
        <d v="2023-10-07T00:00:00"/>
        <d v="2023-10-21T00:00:00"/>
        <d v="2023-10-28T00:00:00"/>
        <d v="2023-11-05T00:00:00"/>
        <d v="2023-11-26T00:00:00"/>
        <d v="2023-12-02T00:00:00"/>
        <d v="2023-12-09T00:00:00"/>
      </sharedItems>
      <fieldGroup par="27"/>
    </cacheField>
    <cacheField name="Comp" numFmtId="0">
      <sharedItems/>
    </cacheField>
    <cacheField name="Season" numFmtId="0">
      <sharedItems containsSemiMixedTypes="0" containsString="0" containsNumber="1" containsInteger="1" minValue="2018" maxValue="2023" count="6">
        <n v="2018"/>
        <n v="2019"/>
        <n v="2020"/>
        <n v="2021"/>
        <n v="2022"/>
        <n v="2023"/>
      </sharedItems>
    </cacheField>
    <cacheField name="Round" numFmtId="0">
      <sharedItems/>
    </cacheField>
    <cacheField name="Opponent" numFmtId="0">
      <sharedItems/>
    </cacheField>
    <cacheField name="Venue" numFmtId="0">
      <sharedItems/>
    </cacheField>
    <cacheField name="Result" numFmtId="0">
      <sharedItems/>
    </cacheField>
    <cacheField name="GF" numFmtId="0">
      <sharedItems containsSemiMixedTypes="0" containsString="0" containsNumber="1" containsInteger="1" minValue="0" maxValue="6"/>
    </cacheField>
    <cacheField name="GA" numFmtId="0">
      <sharedItems containsSemiMixedTypes="0" containsString="0" containsNumber="1" containsInteger="1" minValue="0" maxValue="5"/>
    </cacheField>
    <cacheField name="GD" numFmtId="0">
      <sharedItems containsSemiMixedTypes="0" containsString="0" containsNumber="1" containsInteger="1" minValue="-5" maxValue="6"/>
    </cacheField>
    <cacheField name="xG" numFmtId="0">
      <sharedItems containsSemiMixedTypes="0" containsString="0" containsNumber="1" minValue="0" maxValue="5.0999999999999996"/>
    </cacheField>
    <cacheField name="xGA" numFmtId="0">
      <sharedItems containsSemiMixedTypes="0" containsString="0" containsNumber="1" minValue="0.2" maxValue="3.9"/>
    </cacheField>
    <cacheField name="xGD" numFmtId="0">
      <sharedItems containsSemiMixedTypes="0" containsString="0" containsNumber="1" minValue="-3.3" maxValue="3.9"/>
    </cacheField>
    <cacheField name="xGD - GD" numFmtId="0">
      <sharedItems containsSemiMixedTypes="0" containsString="0" containsNumber="1" minValue="-5.5" maxValue="4.3"/>
    </cacheField>
    <cacheField name="Vela_Minutes_Played" numFmtId="0">
      <sharedItems containsSemiMixedTypes="0" containsString="0" containsNumber="1" containsInteger="1" minValue="0" maxValue="97"/>
    </cacheField>
    <cacheField name="Did_Vela_Play" numFmtId="0">
      <sharedItems containsSemiMixedTypes="0" containsString="0" containsNumber="1" containsInteger="1" minValue="0" maxValue="1" count="2">
        <n v="1"/>
        <n v="0"/>
      </sharedItems>
    </cacheField>
    <cacheField name="Vela_Minutes_Impact" numFmtId="0">
      <sharedItems count="3">
        <s v="High"/>
        <s v="Low"/>
        <s v="Medium"/>
      </sharedItems>
    </cacheField>
    <cacheField name="Did_LAFC_Win" numFmtId="0">
      <sharedItems containsSemiMixedTypes="0" containsString="0" containsNumber="1" containsInteger="1" minValue="0" maxValue="1"/>
    </cacheField>
    <cacheField name="Display_Year" numFmtId="0">
      <sharedItems count="12">
        <s v="'18"/>
        <s v="'19"/>
        <s v="'20"/>
        <s v="'21"/>
        <s v="'22"/>
        <s v="'23"/>
        <s v="18'" u="1"/>
        <s v="19'" u="1"/>
        <s v="20'" u="1"/>
        <s v="21'" u="1"/>
        <s v="22'" u="1"/>
        <s v="23'" u="1"/>
      </sharedItems>
    </cacheField>
    <cacheField name="Zero_Line_Helper" numFmtId="0">
      <sharedItems containsSemiMixedTypes="0" containsString="0" containsNumber="1" containsInteger="1" minValue="0" maxValue="0"/>
    </cacheField>
    <cacheField name="Max_Minutes" numFmtId="0">
      <sharedItems containsSemiMixedTypes="0" containsString="0" containsNumber="1" containsInteger="1" minValue="2070" maxValue="3510"/>
    </cacheField>
    <cacheField name="GF - xGF" numFmtId="0">
      <sharedItems containsSemiMixedTypes="0" containsString="0" containsNumber="1" minValue="-4.5" maxValue="3.7"/>
    </cacheField>
    <cacheField name="GA - xGA" numFmtId="0">
      <sharedItems containsSemiMixedTypes="0" containsString="0" containsNumber="1" minValue="-2.8" maxValue="3.4"/>
    </cacheField>
    <cacheField name="Months (Date)" numFmtId="0" databaseField="0">
      <fieldGroup base="2">
        <rangePr groupBy="months" startDate="2018-03-04T00:00:00" endDate="2023-12-10T00:00:00"/>
        <groupItems count="14">
          <s v="&lt;3/4/18"/>
          <s v="Jan"/>
          <s v="Feb"/>
          <s v="Mar"/>
          <s v="Apr"/>
          <s v="May"/>
          <s v="Jun"/>
          <s v="Jul"/>
          <s v="Aug"/>
          <s v="Sep"/>
          <s v="Oct"/>
          <s v="Nov"/>
          <s v="Dec"/>
          <s v="&gt;12/10/23"/>
        </groupItems>
      </fieldGroup>
    </cacheField>
    <cacheField name="Quarters (Date)" numFmtId="0" databaseField="0">
      <fieldGroup base="2">
        <rangePr groupBy="quarters" startDate="2018-03-04T00:00:00" endDate="2023-12-10T00:00:00"/>
        <groupItems count="6">
          <s v="&lt;3/4/18"/>
          <s v="Qtr1"/>
          <s v="Qtr2"/>
          <s v="Qtr3"/>
          <s v="Qtr4"/>
          <s v="&gt;12/10/23"/>
        </groupItems>
      </fieldGroup>
    </cacheField>
    <cacheField name="Years (Date)" numFmtId="0" databaseField="0">
      <fieldGroup base="2">
        <rangePr groupBy="years" startDate="2018-03-04T00:00:00" endDate="2023-12-10T00:00:00"/>
        <groupItems count="8">
          <s v="&lt;3/4/18"/>
          <s v="2018"/>
          <s v="2019"/>
          <s v="2020"/>
          <s v="2021"/>
          <s v="2022"/>
          <s v="2023"/>
          <s v="&gt;12/10/23"/>
        </groupItems>
      </fieldGroup>
    </cacheField>
    <cacheField name="GF - xGF2" numFmtId="0" formula="GF-xG" databaseField="0"/>
    <cacheField name="GA - xGA2" numFmtId="0" formula="GA-xGA" databaseField="0"/>
  </cacheFields>
  <extLst>
    <ext xmlns:x14="http://schemas.microsoft.com/office/spreadsheetml/2009/9/main" uri="{725AE2AE-9491-48be-B2B4-4EB974FC3084}">
      <x14:pivotCacheDefinition pivotCacheId="3800624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s v="1-2018"/>
    <n v="1"/>
    <d v="2018-03-04T00:00:00"/>
    <s v="MLS"/>
    <x v="0"/>
    <s v="Regular Season"/>
    <s v="Seattle Sounders"/>
    <x v="0"/>
    <x v="0"/>
    <n v="1"/>
    <n v="0"/>
    <n v="1"/>
    <n v="0.3"/>
    <n v="1.9"/>
    <n v="-1.5999999999999999"/>
    <n v="-2.5999999999999996"/>
    <n v="90"/>
  </r>
  <r>
    <s v="2-2018"/>
    <n v="2"/>
    <d v="2018-03-10T00:00:00"/>
    <s v="MLS"/>
    <x v="0"/>
    <s v="Regular Season"/>
    <s v="Real Salt Lake"/>
    <x v="0"/>
    <x v="0"/>
    <n v="5"/>
    <n v="1"/>
    <n v="4"/>
    <n v="5.0999999999999996"/>
    <n v="2.2000000000000002"/>
    <n v="2.8999999999999995"/>
    <n v="-1.1000000000000005"/>
    <n v="90"/>
  </r>
  <r>
    <s v="3-2018"/>
    <n v="3"/>
    <d v="2018-03-31T00:00:00"/>
    <s v="MLS"/>
    <x v="0"/>
    <s v="Regular Season"/>
    <s v="LA Galaxy"/>
    <x v="0"/>
    <x v="1"/>
    <n v="3"/>
    <n v="4"/>
    <n v="-1"/>
    <n v="1.1000000000000001"/>
    <n v="1.5"/>
    <n v="-0.39999999999999991"/>
    <n v="0.60000000000000009"/>
    <n v="90"/>
  </r>
  <r>
    <s v="4-2018"/>
    <n v="4"/>
    <d v="2018-04-07T00:00:00"/>
    <s v="MLS"/>
    <x v="0"/>
    <s v="Regular Season"/>
    <s v="Atlanta Utd"/>
    <x v="0"/>
    <x v="1"/>
    <n v="0"/>
    <n v="5"/>
    <n v="-5"/>
    <n v="0.8"/>
    <n v="3.3"/>
    <n v="-2.5"/>
    <n v="2.5"/>
    <n v="90"/>
  </r>
  <r>
    <s v="5-2018"/>
    <n v="5"/>
    <d v="2018-04-13T00:00:00"/>
    <s v="MLS"/>
    <x v="0"/>
    <s v="Regular Season"/>
    <s v="Vancouver W'caps"/>
    <x v="0"/>
    <x v="0"/>
    <n v="2"/>
    <n v="0"/>
    <n v="2"/>
    <n v="1.7"/>
    <n v="0.3"/>
    <n v="1.4"/>
    <n v="-0.60000000000000009"/>
    <n v="90"/>
  </r>
  <r>
    <s v="6-2018"/>
    <n v="6"/>
    <d v="2018-04-21T00:00:00"/>
    <s v="MLS"/>
    <x v="0"/>
    <s v="Regular Season"/>
    <s v="Montreal Impact"/>
    <x v="0"/>
    <x v="0"/>
    <n v="5"/>
    <n v="3"/>
    <n v="2"/>
    <n v="4.2"/>
    <n v="1.8"/>
    <n v="2.4000000000000004"/>
    <n v="0.40000000000000036"/>
    <n v="90"/>
  </r>
  <r>
    <s v="7-2018"/>
    <n v="7"/>
    <d v="2018-04-29T00:00:00"/>
    <s v="MLS"/>
    <x v="0"/>
    <s v="Regular Season"/>
    <s v="Seattle Sounders"/>
    <x v="1"/>
    <x v="0"/>
    <n v="1"/>
    <n v="0"/>
    <n v="1"/>
    <n v="2.2000000000000002"/>
    <n v="1.5"/>
    <n v="0.70000000000000018"/>
    <n v="-0.29999999999999982"/>
    <n v="90"/>
  </r>
  <r>
    <s v="8-2018"/>
    <n v="8"/>
    <d v="2018-05-05T00:00:00"/>
    <s v="MLS"/>
    <x v="0"/>
    <s v="Regular Season"/>
    <s v="FC Dallas"/>
    <x v="1"/>
    <x v="2"/>
    <n v="1"/>
    <n v="1"/>
    <n v="0"/>
    <n v="2"/>
    <n v="0.9"/>
    <n v="1.1000000000000001"/>
    <n v="1.1000000000000001"/>
    <n v="90"/>
  </r>
  <r>
    <s v="9-2018"/>
    <n v="9"/>
    <d v="2018-05-09T00:00:00"/>
    <s v="MLS"/>
    <x v="0"/>
    <s v="Regular Season"/>
    <s v="Minnesota Utd"/>
    <x v="1"/>
    <x v="0"/>
    <n v="2"/>
    <n v="0"/>
    <n v="2"/>
    <n v="2.4"/>
    <n v="0.6"/>
    <n v="1.7999999999999998"/>
    <n v="-0.20000000000000018"/>
    <n v="90"/>
  </r>
  <r>
    <s v="10-2018"/>
    <n v="10"/>
    <d v="2018-05-13T00:00:00"/>
    <s v="MLS"/>
    <x v="0"/>
    <s v="Regular Season"/>
    <s v="NYCFC"/>
    <x v="1"/>
    <x v="2"/>
    <n v="2"/>
    <n v="2"/>
    <n v="0"/>
    <n v="1.4"/>
    <n v="2.2000000000000002"/>
    <n v="-0.80000000000000027"/>
    <n v="-0.80000000000000027"/>
    <n v="90"/>
  </r>
  <r>
    <s v="11-2018"/>
    <n v="11"/>
    <d v="2018-05-19T00:00:00"/>
    <s v="MLS"/>
    <x v="0"/>
    <s v="Regular Season"/>
    <s v="Portland Timbers"/>
    <x v="0"/>
    <x v="1"/>
    <n v="1"/>
    <n v="2"/>
    <n v="-1"/>
    <n v="1.4"/>
    <n v="2.5"/>
    <n v="-1.1000000000000001"/>
    <n v="-0.10000000000000009"/>
    <n v="90"/>
  </r>
  <r>
    <s v="12-2018"/>
    <n v="12"/>
    <d v="2018-05-26T00:00:00"/>
    <s v="MLS"/>
    <x v="0"/>
    <s v="Regular Season"/>
    <s v="D.C. United"/>
    <x v="1"/>
    <x v="2"/>
    <n v="1"/>
    <n v="1"/>
    <n v="0"/>
    <n v="2"/>
    <n v="1.5"/>
    <n v="0.5"/>
    <n v="0.5"/>
    <n v="90"/>
  </r>
  <r>
    <s v="13-2018"/>
    <n v="13"/>
    <d v="2018-06-02T00:00:00"/>
    <s v="MLS"/>
    <x v="0"/>
    <s v="Regular Season"/>
    <s v="FC Dallas"/>
    <x v="0"/>
    <x v="1"/>
    <n v="1"/>
    <n v="2"/>
    <n v="-1"/>
    <n v="0.9"/>
    <n v="2.5"/>
    <n v="-1.6"/>
    <n v="-0.60000000000000009"/>
    <n v="0"/>
  </r>
  <r>
    <s v="14-2018"/>
    <n v="14"/>
    <d v="2018-06-09T00:00:00"/>
    <s v="MLS"/>
    <x v="0"/>
    <s v="Regular Season"/>
    <s v="SJ Earthquakes"/>
    <x v="0"/>
    <x v="0"/>
    <n v="4"/>
    <n v="3"/>
    <n v="1"/>
    <n v="2.2999999999999998"/>
    <n v="1.1000000000000001"/>
    <n v="1.1999999999999997"/>
    <n v="0.19999999999999973"/>
    <n v="0"/>
  </r>
  <r>
    <s v="15-2018"/>
    <n v="15"/>
    <d v="2018-06-23T00:00:00"/>
    <s v="MLS"/>
    <x v="0"/>
    <s v="Regular Season"/>
    <s v="Columbus Crew"/>
    <x v="1"/>
    <x v="0"/>
    <n v="2"/>
    <n v="0"/>
    <n v="2"/>
    <n v="1.8"/>
    <n v="0.5"/>
    <n v="1.3"/>
    <n v="-0.7"/>
    <n v="0"/>
  </r>
  <r>
    <s v="16-2018"/>
    <n v="16"/>
    <d v="2018-06-30T00:00:00"/>
    <s v="MLS"/>
    <x v="0"/>
    <s v="Regular Season"/>
    <s v="Philadelphia Union"/>
    <x v="1"/>
    <x v="0"/>
    <n v="4"/>
    <n v="1"/>
    <n v="3"/>
    <n v="2.6"/>
    <n v="1.5"/>
    <n v="1.1000000000000001"/>
    <n v="-1.9"/>
    <n v="0"/>
  </r>
  <r>
    <s v="17-2018"/>
    <n v="17"/>
    <d v="2018-07-03T00:00:00"/>
    <s v="MLS"/>
    <x v="0"/>
    <s v="Regular Season"/>
    <s v="Houston Dynamo"/>
    <x v="0"/>
    <x v="2"/>
    <n v="2"/>
    <n v="2"/>
    <n v="0"/>
    <n v="1.1000000000000001"/>
    <n v="1.3"/>
    <n v="-0.19999999999999996"/>
    <n v="-0.19999999999999996"/>
    <n v="0"/>
  </r>
  <r>
    <s v="18-2018"/>
    <n v="18"/>
    <d v="2018-07-07T00:00:00"/>
    <s v="MLS"/>
    <x v="0"/>
    <s v="Regular Season"/>
    <s v="Orlando City"/>
    <x v="1"/>
    <x v="0"/>
    <n v="4"/>
    <n v="1"/>
    <n v="3"/>
    <n v="3.4"/>
    <n v="1.6"/>
    <n v="1.7999999999999998"/>
    <n v="-1.2000000000000002"/>
    <n v="26"/>
  </r>
  <r>
    <s v="19-2018"/>
    <n v="19"/>
    <d v="2018-07-15T00:00:00"/>
    <s v="MLS"/>
    <x v="0"/>
    <s v="Regular Season"/>
    <s v="Portland Timbers"/>
    <x v="1"/>
    <x v="2"/>
    <n v="0"/>
    <n v="0"/>
    <n v="0"/>
    <n v="1.2"/>
    <n v="0.8"/>
    <n v="0.39999999999999991"/>
    <n v="0.39999999999999991"/>
    <n v="90"/>
  </r>
  <r>
    <s v="20-2018"/>
    <n v="20"/>
    <d v="2018-07-22T00:00:00"/>
    <s v="MLS"/>
    <x v="0"/>
    <s v="Regular Season"/>
    <s v="Minnesota Utd"/>
    <x v="0"/>
    <x v="1"/>
    <n v="1"/>
    <n v="5"/>
    <n v="-4"/>
    <n v="0.6"/>
    <n v="3.9"/>
    <n v="-3.3"/>
    <n v="0.70000000000000018"/>
    <n v="0"/>
  </r>
  <r>
    <s v="21-2018"/>
    <n v="21"/>
    <d v="2018-07-26T00:00:00"/>
    <s v="MLS"/>
    <x v="0"/>
    <s v="Regular Season"/>
    <s v="LA Galaxy"/>
    <x v="1"/>
    <x v="2"/>
    <n v="2"/>
    <n v="2"/>
    <n v="0"/>
    <n v="1.5"/>
    <n v="2"/>
    <n v="-0.5"/>
    <n v="-0.5"/>
    <n v="90"/>
  </r>
  <r>
    <s v="22-2018"/>
    <n v="22"/>
    <d v="2018-08-05T00:00:00"/>
    <s v="MLS"/>
    <x v="0"/>
    <s v="Regular Season"/>
    <s v="NY Red Bulls"/>
    <x v="0"/>
    <x v="1"/>
    <n v="1"/>
    <n v="2"/>
    <n v="-1"/>
    <n v="1.7"/>
    <n v="2.2999999999999998"/>
    <n v="-0.59999999999999987"/>
    <n v="0.40000000000000013"/>
    <n v="90"/>
  </r>
  <r>
    <s v="23-2018"/>
    <n v="23"/>
    <d v="2018-08-11T00:00:00"/>
    <s v="MLS"/>
    <x v="0"/>
    <s v="Regular Season"/>
    <s v="Sporting KC"/>
    <x v="1"/>
    <x v="1"/>
    <n v="0"/>
    <n v="2"/>
    <n v="-2"/>
    <n v="1.8"/>
    <n v="1.8"/>
    <n v="0"/>
    <n v="2"/>
    <n v="32"/>
  </r>
  <r>
    <s v="24-2018"/>
    <n v="24"/>
    <d v="2018-08-15T00:00:00"/>
    <s v="MLS"/>
    <x v="0"/>
    <s v="Regular Season"/>
    <s v="Real Salt Lake"/>
    <x v="1"/>
    <x v="0"/>
    <n v="2"/>
    <n v="0"/>
    <n v="2"/>
    <n v="1.8"/>
    <n v="0.3"/>
    <n v="1.5"/>
    <n v="-0.5"/>
    <n v="90"/>
  </r>
  <r>
    <s v="25-2018"/>
    <n v="25"/>
    <d v="2018-08-19T00:00:00"/>
    <s v="MLS"/>
    <x v="0"/>
    <s v="Regular Season"/>
    <s v="Colorado Rapids"/>
    <x v="1"/>
    <x v="0"/>
    <n v="2"/>
    <n v="0"/>
    <n v="2"/>
    <n v="1"/>
    <n v="0.9"/>
    <n v="9.9999999999999978E-2"/>
    <n v="-1.9"/>
    <n v="79"/>
  </r>
  <r>
    <s v="26-2018"/>
    <n v="26"/>
    <d v="2018-08-24T00:00:00"/>
    <s v="MLS"/>
    <x v="0"/>
    <s v="Regular Season"/>
    <s v="LA Galaxy"/>
    <x v="0"/>
    <x v="2"/>
    <n v="1"/>
    <n v="1"/>
    <n v="0"/>
    <n v="1.5"/>
    <n v="1.3"/>
    <n v="0.19999999999999996"/>
    <n v="0.19999999999999996"/>
    <n v="90"/>
  </r>
  <r>
    <s v="27-2018"/>
    <n v="27"/>
    <d v="2018-09-01T00:00:00"/>
    <s v="MLS"/>
    <x v="0"/>
    <s v="Regular Season"/>
    <s v="Toronto FC"/>
    <x v="0"/>
    <x v="0"/>
    <n v="4"/>
    <n v="2"/>
    <n v="2"/>
    <n v="1.6"/>
    <n v="3.2"/>
    <n v="-1.6"/>
    <n v="-3.6"/>
    <n v="90"/>
  </r>
  <r>
    <s v="28-2018"/>
    <n v="28"/>
    <d v="2018-09-15T00:00:00"/>
    <s v="MLS"/>
    <x v="0"/>
    <s v="Regular Season"/>
    <s v="NE Revolution"/>
    <x v="1"/>
    <x v="2"/>
    <n v="1"/>
    <n v="1"/>
    <n v="0"/>
    <n v="1.6"/>
    <n v="1.7"/>
    <n v="-9.9999999999999867E-2"/>
    <n v="-9.9999999999999867E-2"/>
    <n v="90"/>
  </r>
  <r>
    <s v="29-2018"/>
    <n v="29"/>
    <d v="2018-09-22T00:00:00"/>
    <s v="MLS"/>
    <x v="0"/>
    <s v="Regular Season"/>
    <s v="SJ Earthquakes"/>
    <x v="1"/>
    <x v="0"/>
    <n v="2"/>
    <n v="0"/>
    <n v="2"/>
    <n v="2.1"/>
    <n v="0.2"/>
    <n v="1.9000000000000001"/>
    <n v="-9.9999999999999867E-2"/>
    <n v="81"/>
  </r>
  <r>
    <s v="30-2018"/>
    <n v="30"/>
    <d v="2018-09-29T00:00:00"/>
    <s v="MLS"/>
    <x v="0"/>
    <s v="Regular Season"/>
    <s v="Chicago Fire"/>
    <x v="0"/>
    <x v="1"/>
    <n v="1"/>
    <n v="3"/>
    <n v="-2"/>
    <n v="1.5"/>
    <n v="1.1000000000000001"/>
    <n v="0.39999999999999991"/>
    <n v="2.4"/>
    <n v="90"/>
  </r>
  <r>
    <s v="31-2018"/>
    <n v="31"/>
    <d v="2018-10-06T00:00:00"/>
    <s v="MLS"/>
    <x v="0"/>
    <s v="Regular Season"/>
    <s v="Colorado Rapids"/>
    <x v="0"/>
    <x v="0"/>
    <n v="3"/>
    <n v="0"/>
    <n v="3"/>
    <n v="2.9"/>
    <n v="0.8"/>
    <n v="2.0999999999999996"/>
    <n v="-0.90000000000000036"/>
    <n v="90"/>
  </r>
  <r>
    <s v="32-2018"/>
    <n v="32"/>
    <d v="2018-10-12T00:00:00"/>
    <s v="MLS"/>
    <x v="0"/>
    <s v="Regular Season"/>
    <s v="Houston Dynamo"/>
    <x v="1"/>
    <x v="0"/>
    <n v="4"/>
    <n v="2"/>
    <n v="2"/>
    <n v="2.8"/>
    <n v="1.2"/>
    <n v="1.5999999999999999"/>
    <n v="-0.40000000000000013"/>
    <n v="90"/>
  </r>
  <r>
    <s v="33-2018"/>
    <n v="33"/>
    <d v="2018-10-21T00:00:00"/>
    <s v="MLS"/>
    <x v="0"/>
    <s v="Regular Season"/>
    <s v="Vancouver W'caps"/>
    <x v="1"/>
    <x v="2"/>
    <n v="2"/>
    <n v="2"/>
    <n v="0"/>
    <n v="2.1"/>
    <n v="1.6"/>
    <n v="0.5"/>
    <n v="0.5"/>
    <n v="90"/>
  </r>
  <r>
    <s v="34-2018"/>
    <n v="34"/>
    <d v="2018-10-28T00:00:00"/>
    <s v="MLS"/>
    <x v="0"/>
    <s v="Regular Season"/>
    <s v="Sporting KC"/>
    <x v="0"/>
    <x v="1"/>
    <n v="1"/>
    <n v="2"/>
    <n v="-1"/>
    <n v="1.5"/>
    <n v="0.8"/>
    <n v="0.7"/>
    <n v="1.7"/>
    <n v="90"/>
  </r>
  <r>
    <s v="35-2018"/>
    <n v="35"/>
    <d v="2018-11-01T00:00:00"/>
    <s v="MLS"/>
    <x v="0"/>
    <s v="Knockout round"/>
    <s v="Real Salt Lake"/>
    <x v="1"/>
    <x v="1"/>
    <n v="2"/>
    <n v="3"/>
    <n v="-1"/>
    <n v="2.1"/>
    <n v="0.5"/>
    <n v="1.6"/>
    <n v="2.6"/>
    <n v="90"/>
  </r>
  <r>
    <s v="1-2019"/>
    <n v="1"/>
    <d v="2019-03-03T00:00:00"/>
    <s v="MLS"/>
    <x v="1"/>
    <s v="Regular Season"/>
    <s v="Sporting KC"/>
    <x v="1"/>
    <x v="0"/>
    <n v="2"/>
    <n v="1"/>
    <n v="1"/>
    <n v="0.9"/>
    <n v="0.7"/>
    <n v="0.20000000000000007"/>
    <n v="-0.79999999999999993"/>
    <n v="90"/>
  </r>
  <r>
    <s v="2-2019"/>
    <n v="2"/>
    <d v="2019-03-10T00:00:00"/>
    <s v="MLS"/>
    <x v="1"/>
    <s v="Regular Season"/>
    <s v="Portland Timbers"/>
    <x v="1"/>
    <x v="0"/>
    <n v="4"/>
    <n v="1"/>
    <n v="3"/>
    <n v="3.4"/>
    <n v="1.2"/>
    <n v="2.2000000000000002"/>
    <n v="-0.79999999999999982"/>
    <n v="90"/>
  </r>
  <r>
    <s v="3-2019"/>
    <n v="3"/>
    <d v="2019-03-17T00:00:00"/>
    <s v="MLS"/>
    <x v="1"/>
    <s v="Regular Season"/>
    <s v="NYCFC"/>
    <x v="0"/>
    <x v="2"/>
    <n v="2"/>
    <n v="2"/>
    <n v="0"/>
    <n v="2.4"/>
    <n v="1.4"/>
    <n v="1"/>
    <n v="1"/>
    <n v="90"/>
  </r>
  <r>
    <s v="4-2019"/>
    <n v="4"/>
    <d v="2019-03-23T00:00:00"/>
    <s v="MLS"/>
    <x v="1"/>
    <s v="Regular Season"/>
    <s v="Real Salt Lake"/>
    <x v="1"/>
    <x v="0"/>
    <n v="2"/>
    <n v="1"/>
    <n v="1"/>
    <n v="1"/>
    <n v="0.9"/>
    <n v="9.9999999999999978E-2"/>
    <n v="-0.9"/>
    <n v="90"/>
  </r>
  <r>
    <s v="5-2019"/>
    <n v="5"/>
    <d v="2019-03-30T00:00:00"/>
    <s v="MLS"/>
    <x v="1"/>
    <s v="Regular Season"/>
    <s v="SJ Earthquakes"/>
    <x v="0"/>
    <x v="0"/>
    <n v="5"/>
    <n v="0"/>
    <n v="5"/>
    <n v="3.6"/>
    <n v="0.3"/>
    <n v="3.3000000000000003"/>
    <n v="-1.6999999999999997"/>
    <n v="90"/>
  </r>
  <r>
    <s v="6-2019"/>
    <n v="6"/>
    <d v="2019-04-06T00:00:00"/>
    <s v="MLS"/>
    <x v="1"/>
    <s v="Regular Season"/>
    <s v="D.C. United"/>
    <x v="0"/>
    <x v="0"/>
    <n v="4"/>
    <n v="0"/>
    <n v="4"/>
    <n v="2.2000000000000002"/>
    <n v="0.9"/>
    <n v="1.3000000000000003"/>
    <n v="-2.6999999999999997"/>
    <n v="79"/>
  </r>
  <r>
    <s v="7-2019"/>
    <n v="7"/>
    <d v="2019-04-13T00:00:00"/>
    <s v="MLS"/>
    <x v="1"/>
    <s v="Regular Season"/>
    <s v="FC Cincinnati"/>
    <x v="1"/>
    <x v="0"/>
    <n v="2"/>
    <n v="0"/>
    <n v="2"/>
    <n v="2"/>
    <n v="1.5"/>
    <n v="0.5"/>
    <n v="-1.5"/>
    <n v="90"/>
  </r>
  <r>
    <s v="8-2019"/>
    <n v="8"/>
    <d v="2019-04-17T00:00:00"/>
    <s v="MLS"/>
    <x v="1"/>
    <s v="Regular Season"/>
    <s v="Vancouver W'caps"/>
    <x v="0"/>
    <x v="1"/>
    <n v="0"/>
    <n v="1"/>
    <n v="-1"/>
    <n v="0.9"/>
    <n v="0.9"/>
    <n v="0"/>
    <n v="1"/>
    <n v="90"/>
  </r>
  <r>
    <s v="9-2019"/>
    <n v="9"/>
    <d v="2019-04-21T00:00:00"/>
    <s v="MLS"/>
    <x v="1"/>
    <s v="Regular Season"/>
    <s v="Seattle Sounders"/>
    <x v="1"/>
    <x v="0"/>
    <n v="4"/>
    <n v="1"/>
    <n v="3"/>
    <n v="3.2"/>
    <n v="0.5"/>
    <n v="2.7"/>
    <n v="-0.29999999999999982"/>
    <n v="90"/>
  </r>
  <r>
    <s v="10-2019"/>
    <n v="10"/>
    <d v="2019-04-28T00:00:00"/>
    <s v="MLS"/>
    <x v="1"/>
    <s v="Regular Season"/>
    <s v="Seattle Sounders"/>
    <x v="0"/>
    <x v="2"/>
    <n v="1"/>
    <n v="1"/>
    <n v="0"/>
    <n v="3.6"/>
    <n v="0.5"/>
    <n v="3.1"/>
    <n v="3.1"/>
    <n v="90"/>
  </r>
  <r>
    <s v="11-2019"/>
    <n v="11"/>
    <d v="2019-05-04T00:00:00"/>
    <s v="MLS"/>
    <x v="1"/>
    <s v="Regular Season"/>
    <s v="Chicago Fire"/>
    <x v="1"/>
    <x v="2"/>
    <n v="0"/>
    <n v="0"/>
    <n v="0"/>
    <n v="2.5"/>
    <n v="1"/>
    <n v="1.5"/>
    <n v="1.5"/>
    <n v="90"/>
  </r>
  <r>
    <s v="12-2019"/>
    <n v="12"/>
    <d v="2019-05-11T00:00:00"/>
    <s v="MLS"/>
    <x v="1"/>
    <s v="Regular Season"/>
    <s v="Columbus Crew"/>
    <x v="0"/>
    <x v="0"/>
    <n v="3"/>
    <n v="0"/>
    <n v="3"/>
    <n v="2.2000000000000002"/>
    <n v="0.8"/>
    <n v="1.4000000000000001"/>
    <n v="-1.5999999999999999"/>
    <n v="90"/>
  </r>
  <r>
    <s v="13-2019"/>
    <n v="13"/>
    <d v="2019-05-16T00:00:00"/>
    <s v="MLS"/>
    <x v="1"/>
    <s v="Regular Season"/>
    <s v="FC Dallas"/>
    <x v="1"/>
    <x v="0"/>
    <n v="2"/>
    <n v="0"/>
    <n v="2"/>
    <n v="3.5"/>
    <n v="0.4"/>
    <n v="3.1"/>
    <n v="1.1000000000000001"/>
    <n v="90"/>
  </r>
  <r>
    <s v="14-2019"/>
    <n v="14"/>
    <d v="2019-05-19T00:00:00"/>
    <s v="MLS"/>
    <x v="1"/>
    <s v="Regular Season"/>
    <s v="FC Dallas"/>
    <x v="0"/>
    <x v="2"/>
    <n v="1"/>
    <n v="1"/>
    <n v="0"/>
    <n v="2.7"/>
    <n v="0.9"/>
    <n v="1.8000000000000003"/>
    <n v="1.8000000000000003"/>
    <n v="90"/>
  </r>
  <r>
    <s v="15-2019"/>
    <n v="15"/>
    <d v="2019-05-24T00:00:00"/>
    <s v="MLS"/>
    <x v="1"/>
    <s v="Regular Season"/>
    <s v="Montreal Impact"/>
    <x v="1"/>
    <x v="0"/>
    <n v="4"/>
    <n v="2"/>
    <n v="2"/>
    <n v="3.6"/>
    <n v="1.4"/>
    <n v="2.2000000000000002"/>
    <n v="0.20000000000000018"/>
    <n v="90"/>
  </r>
  <r>
    <s v="16-2019"/>
    <n v="16"/>
    <d v="2019-06-01T00:00:00"/>
    <s v="MLS"/>
    <x v="1"/>
    <s v="Regular Season"/>
    <s v="Portland Timbers"/>
    <x v="0"/>
    <x v="0"/>
    <n v="3"/>
    <n v="2"/>
    <n v="1"/>
    <n v="2.1"/>
    <n v="2.1"/>
    <n v="0"/>
    <n v="-1"/>
    <n v="90"/>
  </r>
  <r>
    <s v="17-2019"/>
    <n v="17"/>
    <d v="2019-06-28T00:00:00"/>
    <s v="MLS"/>
    <x v="1"/>
    <s v="Regular Season"/>
    <s v="Colorado Rapids"/>
    <x v="0"/>
    <x v="1"/>
    <n v="0"/>
    <n v="1"/>
    <n v="-1"/>
    <n v="0.9"/>
    <n v="0.8"/>
    <n v="9.9999999999999978E-2"/>
    <n v="1.1000000000000001"/>
    <n v="90"/>
  </r>
  <r>
    <s v="18-2019"/>
    <n v="18"/>
    <d v="2019-07-03T00:00:00"/>
    <s v="MLS"/>
    <x v="1"/>
    <s v="Regular Season"/>
    <s v="Sporting KC"/>
    <x v="0"/>
    <x v="0"/>
    <n v="5"/>
    <n v="1"/>
    <n v="4"/>
    <n v="2.2999999999999998"/>
    <n v="3.8"/>
    <n v="-1.5"/>
    <n v="-5.5"/>
    <n v="90"/>
  </r>
  <r>
    <s v="19-2019"/>
    <n v="19"/>
    <d v="2019-07-06T00:00:00"/>
    <s v="MLS"/>
    <x v="1"/>
    <s v="Regular Season"/>
    <s v="Vancouver W'caps"/>
    <x v="1"/>
    <x v="0"/>
    <n v="6"/>
    <n v="1"/>
    <n v="5"/>
    <n v="2.9"/>
    <n v="0.4"/>
    <n v="2.5"/>
    <n v="-2.5"/>
    <n v="90"/>
  </r>
  <r>
    <s v="20-2019"/>
    <n v="20"/>
    <d v="2019-07-12T00:00:00"/>
    <s v="MLS"/>
    <x v="1"/>
    <s v="Regular Season"/>
    <s v="Houston Dynamo"/>
    <x v="0"/>
    <x v="0"/>
    <n v="3"/>
    <n v="1"/>
    <n v="2"/>
    <n v="1.5"/>
    <n v="2.2000000000000002"/>
    <n v="-0.70000000000000018"/>
    <n v="-2.7"/>
    <n v="0"/>
  </r>
  <r>
    <s v="21-2019"/>
    <n v="21"/>
    <d v="2019-07-19T00:00:00"/>
    <s v="MLS"/>
    <x v="1"/>
    <s v="Regular Season"/>
    <s v="LA Galaxy"/>
    <x v="0"/>
    <x v="1"/>
    <n v="2"/>
    <n v="3"/>
    <n v="-1"/>
    <n v="1.9"/>
    <n v="0.9"/>
    <n v="0.99999999999999989"/>
    <n v="2"/>
    <n v="90"/>
  </r>
  <r>
    <s v="22-2019"/>
    <n v="22"/>
    <d v="2019-07-26T00:00:00"/>
    <s v="MLS"/>
    <x v="1"/>
    <s v="Regular Season"/>
    <s v="Atlanta Utd"/>
    <x v="1"/>
    <x v="0"/>
    <n v="4"/>
    <n v="3"/>
    <n v="1"/>
    <n v="2.1"/>
    <n v="1.1000000000000001"/>
    <n v="1"/>
    <n v="0"/>
    <n v="90"/>
  </r>
  <r>
    <s v="23-2019"/>
    <n v="23"/>
    <d v="2019-08-03T00:00:00"/>
    <s v="MLS"/>
    <x v="1"/>
    <s v="Regular Season"/>
    <s v="NE Revolution"/>
    <x v="0"/>
    <x v="0"/>
    <n v="2"/>
    <n v="0"/>
    <n v="2"/>
    <n v="3.1"/>
    <n v="0.7"/>
    <n v="2.4000000000000004"/>
    <n v="0.40000000000000036"/>
    <n v="90"/>
  </r>
  <r>
    <s v="24-2019"/>
    <n v="24"/>
    <d v="2019-08-11T00:00:00"/>
    <s v="MLS"/>
    <x v="1"/>
    <s v="Regular Season"/>
    <s v="NY Red Bulls"/>
    <x v="1"/>
    <x v="0"/>
    <n v="4"/>
    <n v="2"/>
    <n v="2"/>
    <n v="2.5"/>
    <n v="1.8"/>
    <n v="0.7"/>
    <n v="-1.3"/>
    <n v="90"/>
  </r>
  <r>
    <s v="25-2019"/>
    <n v="25"/>
    <d v="2019-08-17T00:00:00"/>
    <s v="MLS"/>
    <x v="1"/>
    <s v="Regular Season"/>
    <s v="Real Salt Lake"/>
    <x v="0"/>
    <x v="0"/>
    <n v="2"/>
    <n v="0"/>
    <n v="2"/>
    <n v="3"/>
    <n v="0.7"/>
    <n v="2.2999999999999998"/>
    <n v="0.29999999999999982"/>
    <n v="90"/>
  </r>
  <r>
    <s v="26-2019"/>
    <n v="26"/>
    <d v="2019-08-21T00:00:00"/>
    <s v="MLS"/>
    <x v="1"/>
    <s v="Regular Season"/>
    <s v="SJ Earthquakes"/>
    <x v="1"/>
    <x v="0"/>
    <n v="4"/>
    <n v="0"/>
    <n v="4"/>
    <n v="3.8"/>
    <n v="1.8"/>
    <n v="1.9999999999999998"/>
    <n v="-2"/>
    <n v="90"/>
  </r>
  <r>
    <s v="27-2019"/>
    <n v="27"/>
    <d v="2019-08-25T00:00:00"/>
    <s v="MLS"/>
    <x v="1"/>
    <s v="Regular Season"/>
    <s v="LA Galaxy"/>
    <x v="1"/>
    <x v="2"/>
    <n v="3"/>
    <n v="3"/>
    <n v="0"/>
    <n v="3.9"/>
    <n v="1.4"/>
    <n v="2.5"/>
    <n v="2.5"/>
    <n v="61"/>
  </r>
  <r>
    <s v="28-2019"/>
    <n v="28"/>
    <d v="2019-09-01T00:00:00"/>
    <s v="MLS"/>
    <x v="1"/>
    <s v="Regular Season"/>
    <s v="Minnesota Utd"/>
    <x v="1"/>
    <x v="1"/>
    <n v="0"/>
    <n v="2"/>
    <n v="-2"/>
    <n v="2.1"/>
    <n v="0.8"/>
    <n v="1.3"/>
    <n v="3.3"/>
    <n v="0"/>
  </r>
  <r>
    <s v="29-2019"/>
    <n v="29"/>
    <d v="2019-09-07T00:00:00"/>
    <s v="MLS"/>
    <x v="1"/>
    <s v="Regular Season"/>
    <s v="Orlando City"/>
    <x v="0"/>
    <x v="2"/>
    <n v="2"/>
    <n v="2"/>
    <n v="0"/>
    <n v="1.5"/>
    <n v="1.5"/>
    <n v="0"/>
    <n v="0"/>
    <n v="0"/>
  </r>
  <r>
    <s v="30-2019"/>
    <n v="30"/>
    <d v="2019-09-14T00:00:00"/>
    <s v="MLS"/>
    <x v="1"/>
    <s v="Regular Season"/>
    <s v="Philadelphia Union"/>
    <x v="0"/>
    <x v="2"/>
    <n v="1"/>
    <n v="1"/>
    <n v="0"/>
    <n v="1.9"/>
    <n v="1.2"/>
    <n v="0.7"/>
    <n v="0.7"/>
    <n v="66"/>
  </r>
  <r>
    <s v="31-2019"/>
    <n v="31"/>
    <d v="2019-09-21T00:00:00"/>
    <s v="MLS"/>
    <x v="1"/>
    <s v="Regular Season"/>
    <s v="Toronto FC"/>
    <x v="1"/>
    <x v="2"/>
    <n v="1"/>
    <n v="1"/>
    <n v="0"/>
    <n v="1.8"/>
    <n v="0.6"/>
    <n v="1.2000000000000002"/>
    <n v="1.2000000000000002"/>
    <n v="90"/>
  </r>
  <r>
    <s v="32-2019"/>
    <n v="32"/>
    <d v="2019-09-25T00:00:00"/>
    <s v="MLS"/>
    <x v="1"/>
    <s v="Regular Season"/>
    <s v="Houston Dynamo"/>
    <x v="1"/>
    <x v="0"/>
    <n v="3"/>
    <n v="1"/>
    <n v="2"/>
    <n v="1.9"/>
    <n v="0.7"/>
    <n v="1.2"/>
    <n v="-0.8"/>
    <n v="90"/>
  </r>
  <r>
    <s v="33-2019"/>
    <n v="33"/>
    <d v="2019-09-29T00:00:00"/>
    <s v="MLS"/>
    <x v="1"/>
    <s v="Regular Season"/>
    <s v="Minnesota Utd"/>
    <x v="0"/>
    <x v="2"/>
    <n v="1"/>
    <n v="1"/>
    <n v="0"/>
    <n v="1.7"/>
    <n v="2.1"/>
    <n v="-0.40000000000000013"/>
    <n v="-0.40000000000000013"/>
    <n v="90"/>
  </r>
  <r>
    <s v="34-2019"/>
    <n v="34"/>
    <d v="2019-10-06T00:00:00"/>
    <s v="MLS"/>
    <x v="1"/>
    <s v="Regular Season"/>
    <s v="Colorado Rapids"/>
    <x v="1"/>
    <x v="0"/>
    <n v="3"/>
    <n v="1"/>
    <n v="2"/>
    <n v="1.3"/>
    <n v="1.5"/>
    <n v="-0.19999999999999996"/>
    <n v="-2.2000000000000002"/>
    <n v="90"/>
  </r>
  <r>
    <s v="35-2019"/>
    <n v="35"/>
    <d v="2019-10-24T00:00:00"/>
    <s v="MLS"/>
    <x v="1"/>
    <s v="Conference Semifinals"/>
    <s v="LA Galaxy"/>
    <x v="1"/>
    <x v="0"/>
    <n v="5"/>
    <n v="3"/>
    <n v="2"/>
    <n v="3.1"/>
    <n v="1.7"/>
    <n v="1.4000000000000001"/>
    <n v="-0.59999999999999987"/>
    <n v="90"/>
  </r>
  <r>
    <s v="36-2019"/>
    <n v="36"/>
    <d v="2019-10-29T00:00:00"/>
    <s v="MLS"/>
    <x v="1"/>
    <s v="Conference Finals"/>
    <s v="Seattle Sounders"/>
    <x v="1"/>
    <x v="1"/>
    <n v="1"/>
    <n v="3"/>
    <n v="-2"/>
    <n v="0.7"/>
    <n v="1.2"/>
    <n v="-0.5"/>
    <n v="1.5"/>
    <n v="90"/>
  </r>
  <r>
    <s v="1-2020"/>
    <n v="1"/>
    <d v="2020-03-01T00:00:00"/>
    <s v="MLS"/>
    <x v="2"/>
    <s v="Regular Season"/>
    <s v="Inter Miami"/>
    <x v="1"/>
    <x v="0"/>
    <n v="1"/>
    <n v="0"/>
    <n v="1"/>
    <n v="2.5"/>
    <n v="1.7"/>
    <n v="0.8"/>
    <n v="-0.19999999999999996"/>
    <n v="90"/>
  </r>
  <r>
    <s v="2-2020"/>
    <n v="2"/>
    <d v="2020-03-08T00:00:00"/>
    <s v="MLS"/>
    <x v="2"/>
    <s v="Regular Season"/>
    <s v="Philadelphia Union"/>
    <x v="1"/>
    <x v="2"/>
    <n v="3"/>
    <n v="3"/>
    <n v="0"/>
    <n v="2.8"/>
    <n v="1"/>
    <n v="1.7999999999999998"/>
    <n v="1.7999999999999998"/>
    <n v="90"/>
  </r>
  <r>
    <s v="3-2020"/>
    <n v="3"/>
    <d v="2020-07-13T00:00:00"/>
    <s v="MLS"/>
    <x v="2"/>
    <s v="MLS is Back Tournament — Group Stage"/>
    <s v="Houston Dynamo"/>
    <x v="1"/>
    <x v="2"/>
    <n v="3"/>
    <n v="3"/>
    <n v="0"/>
    <n v="2.5"/>
    <n v="1.5"/>
    <n v="1"/>
    <n v="1"/>
    <n v="0"/>
  </r>
  <r>
    <s v="4-2020"/>
    <n v="4"/>
    <d v="2020-07-18T00:00:00"/>
    <s v="MLS"/>
    <x v="2"/>
    <s v="MLS is Back Tournament — Group Stage"/>
    <s v="LA Galaxy"/>
    <x v="1"/>
    <x v="0"/>
    <n v="6"/>
    <n v="2"/>
    <n v="4"/>
    <n v="3.3"/>
    <n v="1"/>
    <n v="2.2999999999999998"/>
    <n v="-1.7000000000000002"/>
    <n v="0"/>
  </r>
  <r>
    <s v="5-2020"/>
    <n v="5"/>
    <d v="2020-07-23T00:00:00"/>
    <s v="MLS"/>
    <x v="2"/>
    <s v="MLS is Back Tournament — Group Stage"/>
    <s v="Portland Timbers"/>
    <x v="1"/>
    <x v="2"/>
    <n v="2"/>
    <n v="2"/>
    <n v="0"/>
    <n v="1"/>
    <n v="1.9"/>
    <n v="-0.89999999999999991"/>
    <n v="-0.89999999999999991"/>
    <n v="0"/>
  </r>
  <r>
    <s v="6-2020"/>
    <n v="6"/>
    <d v="2020-08-22T00:00:00"/>
    <s v="MLS"/>
    <x v="2"/>
    <s v="Regular Season"/>
    <s v="LA Galaxy"/>
    <x v="1"/>
    <x v="1"/>
    <n v="0"/>
    <n v="2"/>
    <n v="-2"/>
    <n v="0.4"/>
    <n v="1.6"/>
    <n v="-1.2000000000000002"/>
    <n v="0.79999999999999982"/>
    <n v="58"/>
  </r>
  <r>
    <s v="7-2020"/>
    <n v="7"/>
    <d v="2020-08-30T00:00:00"/>
    <s v="MLS"/>
    <x v="2"/>
    <s v="Regular Season"/>
    <s v="Seattle Sounders"/>
    <x v="0"/>
    <x v="1"/>
    <n v="1"/>
    <n v="3"/>
    <n v="-2"/>
    <n v="1"/>
    <n v="1.1000000000000001"/>
    <n v="-0.10000000000000009"/>
    <n v="1.9"/>
    <n v="0"/>
  </r>
  <r>
    <s v="8-2020"/>
    <n v="8"/>
    <d v="2020-09-02T00:00:00"/>
    <s v="MLS"/>
    <x v="2"/>
    <s v="Regular Season"/>
    <s v="SJ Earthquakes"/>
    <x v="1"/>
    <x v="0"/>
    <n v="5"/>
    <n v="1"/>
    <n v="4"/>
    <n v="2.9"/>
    <n v="0.5"/>
    <n v="2.4"/>
    <n v="-1.6"/>
    <n v="0"/>
  </r>
  <r>
    <s v="9-2020"/>
    <n v="9"/>
    <d v="2020-09-06T00:00:00"/>
    <s v="MLS"/>
    <x v="2"/>
    <s v="Regular Season"/>
    <s v="LA Galaxy"/>
    <x v="0"/>
    <x v="1"/>
    <n v="0"/>
    <n v="3"/>
    <n v="-3"/>
    <n v="1.8"/>
    <n v="1.5"/>
    <n v="0.30000000000000004"/>
    <n v="3.3"/>
    <n v="0"/>
  </r>
  <r>
    <s v="10-2020"/>
    <n v="10"/>
    <d v="2020-09-09T00:00:00"/>
    <s v="MLS"/>
    <x v="2"/>
    <s v="Regular Season"/>
    <s v="Real Salt Lake"/>
    <x v="0"/>
    <x v="1"/>
    <n v="0"/>
    <n v="3"/>
    <n v="-3"/>
    <n v="1.5"/>
    <n v="2.2000000000000002"/>
    <n v="-0.70000000000000018"/>
    <n v="2.2999999999999998"/>
    <n v="0"/>
  </r>
  <r>
    <s v="11-2020"/>
    <n v="11"/>
    <d v="2020-09-13T00:00:00"/>
    <s v="MLS"/>
    <x v="2"/>
    <s v="Regular Season"/>
    <s v="Portland Timbers"/>
    <x v="1"/>
    <x v="0"/>
    <n v="4"/>
    <n v="2"/>
    <n v="2"/>
    <n v="2.8"/>
    <n v="1.2"/>
    <n v="1.5999999999999999"/>
    <n v="-0.40000000000000013"/>
    <n v="0"/>
  </r>
  <r>
    <s v="12-2020"/>
    <n v="12"/>
    <d v="2020-09-18T00:00:00"/>
    <s v="MLS"/>
    <x v="2"/>
    <s v="Regular Season"/>
    <s v="Seattle Sounders"/>
    <x v="0"/>
    <x v="1"/>
    <n v="0"/>
    <n v="3"/>
    <n v="-3"/>
    <n v="0.6"/>
    <n v="2.5"/>
    <n v="-1.9"/>
    <n v="1.1000000000000001"/>
    <n v="0"/>
  </r>
  <r>
    <s v="13-2020"/>
    <n v="13"/>
    <d v="2020-09-23T00:00:00"/>
    <s v="MLS"/>
    <x v="2"/>
    <s v="Regular Season"/>
    <s v="Vancouver W'caps"/>
    <x v="1"/>
    <x v="0"/>
    <n v="6"/>
    <n v="0"/>
    <n v="6"/>
    <n v="2.5"/>
    <n v="0.4"/>
    <n v="2.1"/>
    <n v="-3.9"/>
    <n v="0"/>
  </r>
  <r>
    <s v="14-2020"/>
    <n v="14"/>
    <d v="2020-09-27T00:00:00"/>
    <s v="MLS"/>
    <x v="2"/>
    <s v="Regular Season"/>
    <s v="SJ Earthquakes"/>
    <x v="1"/>
    <x v="1"/>
    <n v="1"/>
    <n v="2"/>
    <n v="-1"/>
    <n v="1.2"/>
    <n v="1.9"/>
    <n v="-0.7"/>
    <n v="0.30000000000000004"/>
    <n v="0"/>
  </r>
  <r>
    <s v="15-2020"/>
    <n v="15"/>
    <d v="2020-10-04T00:00:00"/>
    <s v="MLS"/>
    <x v="2"/>
    <s v="Regular Season"/>
    <s v="Real Salt Lake"/>
    <x v="0"/>
    <x v="0"/>
    <n v="3"/>
    <n v="1"/>
    <n v="2"/>
    <n v="2.4"/>
    <n v="1.5"/>
    <n v="0.89999999999999991"/>
    <n v="-1.1000000000000001"/>
    <n v="0"/>
  </r>
  <r>
    <s v="16-2020"/>
    <n v="16"/>
    <d v="2020-10-11T00:00:00"/>
    <s v="MLS"/>
    <x v="2"/>
    <s v="Regular Season"/>
    <s v="Seattle Sounders"/>
    <x v="1"/>
    <x v="0"/>
    <n v="3"/>
    <n v="1"/>
    <n v="2"/>
    <n v="0.9"/>
    <n v="2.1"/>
    <n v="-1.2000000000000002"/>
    <n v="-3.2"/>
    <n v="0"/>
  </r>
  <r>
    <s v="17-2020"/>
    <n v="17"/>
    <d v="2020-10-14T00:00:00"/>
    <s v="MLS"/>
    <x v="2"/>
    <s v="Regular Season"/>
    <s v="Vancouver W'caps"/>
    <x v="0"/>
    <x v="1"/>
    <n v="1"/>
    <n v="2"/>
    <n v="-1"/>
    <n v="1.4"/>
    <n v="1.8"/>
    <n v="-0.40000000000000013"/>
    <n v="0.59999999999999987"/>
    <n v="0"/>
  </r>
  <r>
    <s v="18-2020"/>
    <n v="18"/>
    <d v="2020-10-18T00:00:00"/>
    <s v="MLS"/>
    <x v="2"/>
    <s v="Regular Season"/>
    <s v="Portland Timbers"/>
    <x v="0"/>
    <x v="2"/>
    <n v="1"/>
    <n v="1"/>
    <n v="0"/>
    <n v="1.6"/>
    <n v="1.5"/>
    <n v="0.10000000000000009"/>
    <n v="0.10000000000000009"/>
    <n v="0"/>
  </r>
  <r>
    <s v="19-2020"/>
    <n v="19"/>
    <d v="2020-10-25T00:00:00"/>
    <s v="MLS"/>
    <x v="2"/>
    <s v="Regular Season"/>
    <s v="LA Galaxy"/>
    <x v="1"/>
    <x v="0"/>
    <n v="2"/>
    <n v="0"/>
    <n v="2"/>
    <n v="3.1"/>
    <n v="0.2"/>
    <n v="2.9"/>
    <n v="0.89999999999999991"/>
    <n v="20"/>
  </r>
  <r>
    <s v="20-2020"/>
    <n v="20"/>
    <d v="2020-10-28T00:00:00"/>
    <s v="MLS"/>
    <x v="2"/>
    <s v="Regular Season"/>
    <s v="Houston Dynamo"/>
    <x v="1"/>
    <x v="0"/>
    <n v="2"/>
    <n v="1"/>
    <n v="1"/>
    <n v="3.1"/>
    <n v="2"/>
    <n v="1.1000000000000001"/>
    <n v="0.10000000000000009"/>
    <n v="30"/>
  </r>
  <r>
    <s v="21-2020"/>
    <n v="21"/>
    <d v="2020-11-04T00:00:00"/>
    <s v="MLS"/>
    <x v="2"/>
    <s v="Regular Season"/>
    <s v="SJ Earthquakes"/>
    <x v="0"/>
    <x v="1"/>
    <n v="2"/>
    <n v="3"/>
    <n v="-1"/>
    <n v="2.4"/>
    <n v="1.1000000000000001"/>
    <n v="1.2999999999999998"/>
    <n v="2.2999999999999998"/>
    <n v="45"/>
  </r>
  <r>
    <s v="22-2020"/>
    <n v="22"/>
    <d v="2020-11-08T00:00:00"/>
    <s v="MLS"/>
    <x v="2"/>
    <s v="Regular Season"/>
    <s v="Portland Timbers"/>
    <x v="1"/>
    <x v="2"/>
    <n v="1"/>
    <n v="1"/>
    <n v="0"/>
    <n v="1.4"/>
    <n v="1.4"/>
    <n v="0"/>
    <n v="0"/>
    <n v="90"/>
  </r>
  <r>
    <s v="23-2020"/>
    <n v="23"/>
    <d v="2020-11-24T00:00:00"/>
    <s v="MLS"/>
    <x v="2"/>
    <s v="First Round"/>
    <s v="Seattle Sounders"/>
    <x v="0"/>
    <x v="1"/>
    <n v="1"/>
    <n v="3"/>
    <n v="-2"/>
    <n v="2.5"/>
    <n v="2"/>
    <n v="0.5"/>
    <n v="2.5"/>
    <n v="90"/>
  </r>
  <r>
    <s v="1-2021"/>
    <n v="1"/>
    <d v="2021-04-17T00:00:00"/>
    <s v="MLS"/>
    <x v="3"/>
    <s v="Regular Season"/>
    <s v="Austin"/>
    <x v="1"/>
    <x v="0"/>
    <n v="2"/>
    <n v="0"/>
    <n v="2"/>
    <n v="3.2"/>
    <n v="0.8"/>
    <n v="2.4000000000000004"/>
    <n v="0.40000000000000036"/>
    <n v="22"/>
  </r>
  <r>
    <s v="2-2021"/>
    <n v="2"/>
    <d v="2021-04-24T00:00:00"/>
    <s v="MLS"/>
    <x v="3"/>
    <s v="Regular Season"/>
    <s v="Seattle Sounders"/>
    <x v="1"/>
    <x v="2"/>
    <n v="1"/>
    <n v="1"/>
    <n v="0"/>
    <n v="0.6"/>
    <n v="0.8"/>
    <n v="-0.20000000000000007"/>
    <n v="-0.20000000000000007"/>
    <n v="0"/>
  </r>
  <r>
    <s v="3-2021"/>
    <n v="3"/>
    <d v="2021-05-01T00:00:00"/>
    <s v="MLS"/>
    <x v="3"/>
    <s v="Regular Season"/>
    <s v="Houston Dynamo"/>
    <x v="0"/>
    <x v="2"/>
    <n v="1"/>
    <n v="1"/>
    <n v="0"/>
    <n v="1.3"/>
    <n v="1.4"/>
    <n v="-9.9999999999999867E-2"/>
    <n v="-9.9999999999999867E-2"/>
    <n v="0"/>
  </r>
  <r>
    <s v="4-2021"/>
    <n v="4"/>
    <d v="2021-05-08T00:00:00"/>
    <s v="MLS"/>
    <x v="3"/>
    <s v="Regular Season"/>
    <s v="LA Galaxy"/>
    <x v="0"/>
    <x v="1"/>
    <n v="1"/>
    <n v="2"/>
    <n v="-1"/>
    <n v="1.2"/>
    <n v="1"/>
    <n v="0.19999999999999996"/>
    <n v="1.2"/>
    <n v="0"/>
  </r>
  <r>
    <s v="5-2021"/>
    <n v="5"/>
    <d v="2021-05-16T00:00:00"/>
    <s v="MLS"/>
    <x v="3"/>
    <s v="Regular Season"/>
    <s v="Seattle Sounders"/>
    <x v="0"/>
    <x v="1"/>
    <n v="0"/>
    <n v="2"/>
    <n v="-2"/>
    <n v="0.6"/>
    <n v="1.3"/>
    <n v="-0.70000000000000007"/>
    <n v="1.2999999999999998"/>
    <n v="20"/>
  </r>
  <r>
    <s v="6-2021"/>
    <n v="6"/>
    <d v="2021-05-22T00:00:00"/>
    <s v="MLS"/>
    <x v="3"/>
    <s v="Regular Season"/>
    <s v="Colorado Rapids"/>
    <x v="1"/>
    <x v="0"/>
    <n v="2"/>
    <n v="1"/>
    <n v="1"/>
    <n v="1.5"/>
    <n v="1.1000000000000001"/>
    <n v="0.39999999999999991"/>
    <n v="-0.60000000000000009"/>
    <n v="59"/>
  </r>
  <r>
    <s v="7-2021"/>
    <n v="7"/>
    <d v="2021-05-29T00:00:00"/>
    <s v="MLS"/>
    <x v="3"/>
    <s v="Regular Season"/>
    <s v="NYCFC"/>
    <x v="1"/>
    <x v="1"/>
    <n v="1"/>
    <n v="2"/>
    <n v="-1"/>
    <n v="2.2999999999999998"/>
    <n v="1"/>
    <n v="1.2999999999999998"/>
    <n v="2.2999999999999998"/>
    <n v="90"/>
  </r>
  <r>
    <s v="8-2021"/>
    <n v="8"/>
    <d v="2021-06-19T00:00:00"/>
    <s v="MLS"/>
    <x v="3"/>
    <s v="Regular Season"/>
    <s v="Houston Dynamo"/>
    <x v="1"/>
    <x v="2"/>
    <n v="1"/>
    <n v="1"/>
    <n v="0"/>
    <n v="1.9"/>
    <n v="0.5"/>
    <n v="1.4"/>
    <n v="1.4"/>
    <n v="64"/>
  </r>
  <r>
    <s v="9-2021"/>
    <n v="9"/>
    <d v="2021-06-23T00:00:00"/>
    <s v="MLS"/>
    <x v="3"/>
    <s v="Regular Season"/>
    <s v="FC Dallas"/>
    <x v="1"/>
    <x v="0"/>
    <n v="2"/>
    <n v="0"/>
    <n v="2"/>
    <n v="3.1"/>
    <n v="0.8"/>
    <n v="2.2999999999999998"/>
    <n v="0.29999999999999982"/>
    <n v="76"/>
  </r>
  <r>
    <s v="10-2021"/>
    <n v="10"/>
    <d v="2021-06-26T00:00:00"/>
    <s v="MLS"/>
    <x v="3"/>
    <s v="Regular Season"/>
    <s v="Sporting KC"/>
    <x v="0"/>
    <x v="1"/>
    <n v="1"/>
    <n v="2"/>
    <n v="-1"/>
    <n v="0.8"/>
    <n v="1.4"/>
    <n v="-0.59999999999999987"/>
    <n v="0.40000000000000013"/>
    <n v="33"/>
  </r>
  <r>
    <s v="11-2021"/>
    <n v="11"/>
    <d v="2021-07-03T00:00:00"/>
    <s v="MLS"/>
    <x v="3"/>
    <s v="Regular Season"/>
    <s v="Real Salt Lake"/>
    <x v="0"/>
    <x v="0"/>
    <n v="1"/>
    <n v="0"/>
    <n v="1"/>
    <n v="0.6"/>
    <n v="1.3"/>
    <n v="-0.70000000000000007"/>
    <n v="-1.7000000000000002"/>
    <n v="90"/>
  </r>
  <r>
    <s v="12-2021"/>
    <n v="12"/>
    <d v="2021-07-07T00:00:00"/>
    <s v="MLS"/>
    <x v="3"/>
    <s v="Regular Season"/>
    <s v="Austin"/>
    <x v="0"/>
    <x v="0"/>
    <n v="2"/>
    <n v="0"/>
    <n v="2"/>
    <n v="2"/>
    <n v="0.7"/>
    <n v="1.3"/>
    <n v="-0.7"/>
    <n v="90"/>
  </r>
  <r>
    <s v="13-2021"/>
    <n v="13"/>
    <d v="2021-07-17T00:00:00"/>
    <s v="MLS"/>
    <x v="3"/>
    <s v="Regular Season"/>
    <s v="Real Salt Lake"/>
    <x v="1"/>
    <x v="0"/>
    <n v="2"/>
    <n v="1"/>
    <n v="1"/>
    <n v="4.8"/>
    <n v="0.9"/>
    <n v="3.9"/>
    <n v="2.9"/>
    <n v="90"/>
  </r>
  <r>
    <s v="14-2021"/>
    <n v="14"/>
    <d v="2021-07-21T00:00:00"/>
    <s v="MLS"/>
    <x v="3"/>
    <s v="Regular Season"/>
    <s v="Portland Timbers"/>
    <x v="0"/>
    <x v="1"/>
    <n v="1"/>
    <n v="2"/>
    <n v="-1"/>
    <n v="2.2000000000000002"/>
    <n v="0.6"/>
    <n v="1.6"/>
    <n v="2.6"/>
    <n v="79"/>
  </r>
  <r>
    <s v="15-2021"/>
    <n v="15"/>
    <d v="2021-07-24T00:00:00"/>
    <s v="MLS"/>
    <x v="3"/>
    <s v="Regular Season"/>
    <s v="Vancouver W'caps"/>
    <x v="1"/>
    <x v="2"/>
    <n v="2"/>
    <n v="2"/>
    <n v="0"/>
    <n v="1"/>
    <n v="1.2"/>
    <n v="-0.19999999999999996"/>
    <n v="-0.19999999999999996"/>
    <n v="90"/>
  </r>
  <r>
    <s v="16-2021"/>
    <n v="16"/>
    <d v="2021-07-28T00:00:00"/>
    <s v="MLS"/>
    <x v="3"/>
    <s v="Regular Season"/>
    <s v="Minnesota Utd"/>
    <x v="1"/>
    <x v="2"/>
    <n v="2"/>
    <n v="2"/>
    <n v="0"/>
    <n v="2.2000000000000002"/>
    <n v="1.1000000000000001"/>
    <n v="1.1000000000000001"/>
    <n v="1.1000000000000001"/>
    <n v="90"/>
  </r>
  <r>
    <s v="17-2021"/>
    <n v="17"/>
    <d v="2021-08-04T00:00:00"/>
    <s v="MLS"/>
    <x v="3"/>
    <s v="Regular Season"/>
    <s v="Sporting KC"/>
    <x v="1"/>
    <x v="1"/>
    <n v="1"/>
    <n v="4"/>
    <n v="-3"/>
    <n v="2.2999999999999998"/>
    <n v="2"/>
    <n v="0.29999999999999982"/>
    <n v="3.3"/>
    <n v="90"/>
  </r>
  <r>
    <s v="18-2021"/>
    <n v="18"/>
    <d v="2021-08-08T00:00:00"/>
    <s v="MLS"/>
    <x v="3"/>
    <s v="Regular Season"/>
    <s v="SJ Earthquakes"/>
    <x v="0"/>
    <x v="1"/>
    <n v="1"/>
    <n v="2"/>
    <n v="-1"/>
    <n v="1.6"/>
    <n v="1.8"/>
    <n v="-0.19999999999999996"/>
    <n v="0.8"/>
    <n v="90"/>
  </r>
  <r>
    <s v="19-2021"/>
    <n v="19"/>
    <d v="2021-08-15T00:00:00"/>
    <s v="MLS"/>
    <x v="3"/>
    <s v="Regular Season"/>
    <s v="Atlanta Utd"/>
    <x v="0"/>
    <x v="1"/>
    <n v="0"/>
    <n v="1"/>
    <n v="-1"/>
    <n v="1.2"/>
    <n v="1.1000000000000001"/>
    <n v="9.9999999999999867E-2"/>
    <n v="1.0999999999999999"/>
    <n v="90"/>
  </r>
  <r>
    <s v="20-2021"/>
    <n v="20"/>
    <d v="2021-08-21T00:00:00"/>
    <s v="MLS"/>
    <x v="3"/>
    <s v="Regular Season"/>
    <s v="Vancouver W'caps"/>
    <x v="0"/>
    <x v="1"/>
    <n v="1"/>
    <n v="2"/>
    <n v="-1"/>
    <n v="3.9"/>
    <n v="1.5"/>
    <n v="2.4"/>
    <n v="3.4"/>
    <n v="16"/>
  </r>
  <r>
    <s v="21-2021"/>
    <n v="21"/>
    <d v="2021-08-28T00:00:00"/>
    <s v="MLS"/>
    <x v="3"/>
    <s v="Regular Season"/>
    <s v="LA Galaxy"/>
    <x v="1"/>
    <x v="2"/>
    <n v="3"/>
    <n v="3"/>
    <n v="0"/>
    <n v="2.9"/>
    <n v="1.3"/>
    <n v="1.5999999999999999"/>
    <n v="1.5999999999999999"/>
    <n v="0"/>
  </r>
  <r>
    <s v="22-2021"/>
    <n v="22"/>
    <d v="2021-09-03T00:00:00"/>
    <s v="MLS"/>
    <x v="3"/>
    <s v="Regular Season"/>
    <s v="Sporting KC"/>
    <x v="1"/>
    <x v="0"/>
    <n v="4"/>
    <n v="0"/>
    <n v="4"/>
    <n v="3.5"/>
    <n v="0.4"/>
    <n v="3.1"/>
    <n v="-0.89999999999999991"/>
    <n v="0"/>
  </r>
  <r>
    <s v="23-2021"/>
    <n v="23"/>
    <d v="2021-09-12T00:00:00"/>
    <s v="MLS"/>
    <x v="3"/>
    <s v="Regular Season"/>
    <s v="Real Salt Lake"/>
    <x v="1"/>
    <x v="0"/>
    <n v="3"/>
    <n v="2"/>
    <n v="1"/>
    <n v="1"/>
    <n v="1"/>
    <n v="0"/>
    <n v="-1"/>
    <n v="0"/>
  </r>
  <r>
    <s v="24-2021"/>
    <n v="24"/>
    <d v="2021-09-15T00:00:00"/>
    <s v="MLS"/>
    <x v="3"/>
    <s v="Regular Season"/>
    <s v="Austin"/>
    <x v="0"/>
    <x v="0"/>
    <n v="2"/>
    <n v="1"/>
    <n v="1"/>
    <n v="2.5"/>
    <n v="1.3"/>
    <n v="1.2"/>
    <n v="0.19999999999999996"/>
    <n v="0"/>
  </r>
  <r>
    <s v="25-2021"/>
    <n v="25"/>
    <d v="2021-09-19T00:00:00"/>
    <s v="MLS"/>
    <x v="3"/>
    <s v="Regular Season"/>
    <s v="Portland Timbers"/>
    <x v="0"/>
    <x v="1"/>
    <n v="1"/>
    <n v="2"/>
    <n v="-1"/>
    <n v="2.6"/>
    <n v="1.9"/>
    <n v="0.70000000000000018"/>
    <n v="1.7000000000000002"/>
    <n v="0"/>
  </r>
  <r>
    <s v="26-2021"/>
    <n v="26"/>
    <d v="2021-09-25T00:00:00"/>
    <s v="MLS"/>
    <x v="3"/>
    <s v="Regular Season"/>
    <s v="SJ Earthquakes"/>
    <x v="0"/>
    <x v="1"/>
    <n v="0"/>
    <n v="2"/>
    <n v="-2"/>
    <n v="1.3"/>
    <n v="1.7"/>
    <n v="-0.39999999999999991"/>
    <n v="1.6"/>
    <n v="0"/>
  </r>
  <r>
    <s v="27-2021"/>
    <n v="27"/>
    <d v="2021-09-29T00:00:00"/>
    <s v="MLS"/>
    <x v="3"/>
    <s v="Regular Season"/>
    <s v="Portland Timbers"/>
    <x v="1"/>
    <x v="1"/>
    <n v="1"/>
    <n v="2"/>
    <n v="-1"/>
    <n v="1.2"/>
    <n v="1.1000000000000001"/>
    <n v="9.9999999999999867E-2"/>
    <n v="1.0999999999999999"/>
    <n v="0"/>
  </r>
  <r>
    <s v="28-2021"/>
    <n v="28"/>
    <d v="2021-10-03T00:00:00"/>
    <s v="MLS"/>
    <x v="3"/>
    <s v="Regular Season"/>
    <s v="LA Galaxy"/>
    <x v="0"/>
    <x v="2"/>
    <n v="1"/>
    <n v="1"/>
    <n v="0"/>
    <n v="1.3"/>
    <n v="1.6"/>
    <n v="-0.30000000000000004"/>
    <n v="-0.30000000000000004"/>
    <n v="0"/>
  </r>
  <r>
    <s v="29-2021"/>
    <n v="29"/>
    <d v="2021-10-16T00:00:00"/>
    <s v="MLS"/>
    <x v="3"/>
    <s v="Regular Season"/>
    <s v="SJ Earthquakes"/>
    <x v="1"/>
    <x v="0"/>
    <n v="3"/>
    <n v="1"/>
    <n v="2"/>
    <n v="2.8"/>
    <n v="2.4"/>
    <n v="0.39999999999999991"/>
    <n v="-1.6"/>
    <n v="0"/>
  </r>
  <r>
    <s v="30-2021"/>
    <n v="30"/>
    <d v="2021-10-20T00:00:00"/>
    <s v="MLS"/>
    <x v="3"/>
    <s v="Regular Season"/>
    <s v="FC Dallas"/>
    <x v="0"/>
    <x v="0"/>
    <n v="3"/>
    <n v="2"/>
    <n v="1"/>
    <n v="1.8"/>
    <n v="2"/>
    <n v="-0.19999999999999996"/>
    <n v="-1.2"/>
    <n v="0"/>
  </r>
  <r>
    <s v="31-2021"/>
    <n v="31"/>
    <d v="2021-10-23T00:00:00"/>
    <s v="MLS"/>
    <x v="3"/>
    <s v="Regular Season"/>
    <s v="Minnesota Utd"/>
    <x v="0"/>
    <x v="2"/>
    <n v="1"/>
    <n v="1"/>
    <n v="0"/>
    <n v="0.6"/>
    <n v="2.2000000000000002"/>
    <n v="-1.6"/>
    <n v="-1.6"/>
    <n v="0"/>
  </r>
  <r>
    <s v="32-2021"/>
    <n v="32"/>
    <d v="2021-10-26T00:00:00"/>
    <s v="MLS"/>
    <x v="3"/>
    <s v="Regular Season"/>
    <s v="Seattle Sounders"/>
    <x v="1"/>
    <x v="0"/>
    <n v="3"/>
    <n v="0"/>
    <n v="3"/>
    <n v="1.1000000000000001"/>
    <n v="1.7"/>
    <n v="-0.59999999999999987"/>
    <n v="-3.5999999999999996"/>
    <n v="12"/>
  </r>
  <r>
    <s v="33-2021"/>
    <n v="33"/>
    <d v="2021-11-02T00:00:00"/>
    <s v="MLS"/>
    <x v="3"/>
    <s v="Regular Season"/>
    <s v="Vancouver W'caps"/>
    <x v="1"/>
    <x v="2"/>
    <n v="1"/>
    <n v="1"/>
    <n v="0"/>
    <n v="3.1"/>
    <n v="0.8"/>
    <n v="2.2999999999999998"/>
    <n v="2.2999999999999998"/>
    <n v="18"/>
  </r>
  <r>
    <s v="34-2021"/>
    <n v="34"/>
    <d v="2021-11-07T00:00:00"/>
    <s v="MLS"/>
    <x v="3"/>
    <s v="Regular Season"/>
    <s v="Colorado Rapids"/>
    <x v="0"/>
    <x v="1"/>
    <n v="2"/>
    <n v="5"/>
    <n v="-3"/>
    <n v="1.8"/>
    <n v="3.1"/>
    <n v="-1.3"/>
    <n v="1.7"/>
    <n v="59"/>
  </r>
  <r>
    <s v="1-2022"/>
    <n v="1"/>
    <d v="2022-02-26T00:00:00"/>
    <s v="MLS"/>
    <x v="4"/>
    <s v="Regular Season"/>
    <s v="Colorado Rapids"/>
    <x v="1"/>
    <x v="0"/>
    <n v="3"/>
    <n v="0"/>
    <n v="3"/>
    <n v="2.4"/>
    <n v="0.4"/>
    <n v="2"/>
    <n v="-1"/>
    <n v="86"/>
  </r>
  <r>
    <s v="2-2022"/>
    <n v="2"/>
    <d v="2022-03-06T00:00:00"/>
    <s v="MLS"/>
    <x v="4"/>
    <s v="Regular Season"/>
    <s v="Portland Timbers"/>
    <x v="1"/>
    <x v="2"/>
    <n v="1"/>
    <n v="1"/>
    <n v="0"/>
    <n v="2.2000000000000002"/>
    <n v="0.6"/>
    <n v="1.6"/>
    <n v="1.6"/>
    <n v="45"/>
  </r>
  <r>
    <s v="3-2022"/>
    <n v="3"/>
    <d v="2022-03-12T00:00:00"/>
    <s v="MLS"/>
    <x v="4"/>
    <s v="Regular Season"/>
    <s v="Inter Miami"/>
    <x v="0"/>
    <x v="0"/>
    <n v="2"/>
    <n v="0"/>
    <n v="2"/>
    <n v="0.5"/>
    <n v="0.4"/>
    <n v="9.9999999999999978E-2"/>
    <n v="-1.9"/>
    <n v="70"/>
  </r>
  <r>
    <s v="4-2022"/>
    <n v="4"/>
    <d v="2022-03-20T00:00:00"/>
    <s v="MLS"/>
    <x v="4"/>
    <s v="Regular Season"/>
    <s v="Vancouver W'caps"/>
    <x v="1"/>
    <x v="0"/>
    <n v="3"/>
    <n v="1"/>
    <n v="2"/>
    <n v="1.7"/>
    <n v="1.1000000000000001"/>
    <n v="0.59999999999999987"/>
    <n v="-1.4000000000000001"/>
    <n v="81"/>
  </r>
  <r>
    <s v="5-2022"/>
    <n v="5"/>
    <d v="2022-04-02T00:00:00"/>
    <s v="MLS"/>
    <x v="4"/>
    <s v="Regular Season"/>
    <s v="Orlando City"/>
    <x v="0"/>
    <x v="0"/>
    <n v="4"/>
    <n v="2"/>
    <n v="2"/>
    <n v="2.7"/>
    <n v="1.4"/>
    <n v="1.3000000000000003"/>
    <n v="-0.69999999999999973"/>
    <n v="74"/>
  </r>
  <r>
    <s v="6-2022"/>
    <n v="6"/>
    <d v="2022-04-09T00:00:00"/>
    <s v="MLS"/>
    <x v="4"/>
    <s v="Regular Season"/>
    <s v="LA Galaxy"/>
    <x v="0"/>
    <x v="1"/>
    <n v="1"/>
    <n v="2"/>
    <n v="-1"/>
    <n v="2"/>
    <n v="1"/>
    <n v="1"/>
    <n v="2"/>
    <n v="90"/>
  </r>
  <r>
    <s v="7-2022"/>
    <n v="7"/>
    <d v="2022-04-17T00:00:00"/>
    <s v="MLS"/>
    <x v="4"/>
    <s v="Regular Season"/>
    <s v="Sporting KC"/>
    <x v="1"/>
    <x v="0"/>
    <n v="3"/>
    <n v="1"/>
    <n v="2"/>
    <n v="2"/>
    <n v="1"/>
    <n v="1"/>
    <n v="-1"/>
    <n v="90"/>
  </r>
  <r>
    <s v="8-2022"/>
    <n v="8"/>
    <d v="2022-04-24T00:00:00"/>
    <s v="MLS"/>
    <x v="4"/>
    <s v="Regular Season"/>
    <s v="FC Cincinnati"/>
    <x v="0"/>
    <x v="0"/>
    <n v="2"/>
    <n v="1"/>
    <n v="1"/>
    <n v="1.8"/>
    <n v="1.5"/>
    <n v="0.30000000000000004"/>
    <n v="-0.7"/>
    <n v="87"/>
  </r>
  <r>
    <s v="9-2022"/>
    <n v="9"/>
    <d v="2022-05-01T00:00:00"/>
    <s v="MLS"/>
    <x v="4"/>
    <s v="Regular Season"/>
    <s v="Minnesota Utd"/>
    <x v="1"/>
    <x v="0"/>
    <n v="2"/>
    <n v="0"/>
    <n v="2"/>
    <n v="2.2999999999999998"/>
    <n v="0.7"/>
    <n v="1.5999999999999999"/>
    <n v="-0.40000000000000013"/>
    <n v="88"/>
  </r>
  <r>
    <s v="10-2022"/>
    <n v="10"/>
    <d v="2022-05-07T00:00:00"/>
    <s v="MLS"/>
    <x v="4"/>
    <s v="Regular Season"/>
    <s v="Philadelphia Union"/>
    <x v="1"/>
    <x v="2"/>
    <n v="2"/>
    <n v="2"/>
    <n v="0"/>
    <n v="1.4"/>
    <n v="1.1000000000000001"/>
    <n v="0.29999999999999982"/>
    <n v="0.29999999999999982"/>
    <n v="90"/>
  </r>
  <r>
    <s v="11-2022"/>
    <n v="11"/>
    <d v="2022-05-14T00:00:00"/>
    <s v="MLS"/>
    <x v="4"/>
    <s v="Regular Season"/>
    <s v="Colorado Rapids"/>
    <x v="0"/>
    <x v="1"/>
    <n v="0"/>
    <n v="2"/>
    <n v="-2"/>
    <n v="1.3"/>
    <n v="3.1"/>
    <n v="-1.8"/>
    <n v="0.19999999999999996"/>
    <n v="90"/>
  </r>
  <r>
    <s v="12-2022"/>
    <n v="12"/>
    <d v="2022-05-18T00:00:00"/>
    <s v="MLS"/>
    <x v="4"/>
    <s v="Regular Season"/>
    <s v="Austin"/>
    <x v="1"/>
    <x v="1"/>
    <n v="1"/>
    <n v="2"/>
    <n v="-1"/>
    <n v="1.9"/>
    <n v="0.7"/>
    <n v="1.2"/>
    <n v="2.2000000000000002"/>
    <n v="90"/>
  </r>
  <r>
    <s v="13-2022"/>
    <n v="13"/>
    <d v="2022-05-21T00:00:00"/>
    <s v="MLS"/>
    <x v="4"/>
    <s v="Regular Season"/>
    <s v="Columbus Crew"/>
    <x v="0"/>
    <x v="0"/>
    <n v="2"/>
    <n v="0"/>
    <n v="2"/>
    <n v="1.8"/>
    <n v="0.9"/>
    <n v="0.9"/>
    <n v="-1.1000000000000001"/>
    <n v="45"/>
  </r>
  <r>
    <s v="14-2022"/>
    <n v="14"/>
    <d v="2022-05-28T00:00:00"/>
    <s v="MLS"/>
    <x v="4"/>
    <s v="Regular Season"/>
    <s v="SJ Earthquakes"/>
    <x v="1"/>
    <x v="0"/>
    <n v="3"/>
    <n v="2"/>
    <n v="1"/>
    <n v="2.1"/>
    <n v="1.9"/>
    <n v="0.20000000000000018"/>
    <n v="-0.79999999999999982"/>
    <n v="0"/>
  </r>
  <r>
    <s v="15-2022"/>
    <n v="15"/>
    <d v="2022-06-18T00:00:00"/>
    <s v="MLS"/>
    <x v="4"/>
    <s v="Regular Season"/>
    <s v="Seattle Sounders"/>
    <x v="0"/>
    <x v="2"/>
    <n v="1"/>
    <n v="1"/>
    <n v="0"/>
    <n v="1.3"/>
    <n v="1.2"/>
    <n v="0.10000000000000009"/>
    <n v="0.10000000000000009"/>
    <n v="45"/>
  </r>
  <r>
    <s v="16-2022"/>
    <n v="16"/>
    <d v="2022-06-26T00:00:00"/>
    <s v="MLS"/>
    <x v="4"/>
    <s v="Regular Season"/>
    <s v="NY Red Bulls"/>
    <x v="1"/>
    <x v="0"/>
    <n v="2"/>
    <n v="0"/>
    <n v="2"/>
    <n v="1.7"/>
    <n v="0.6"/>
    <n v="1.1000000000000001"/>
    <n v="-0.89999999999999991"/>
    <n v="90"/>
  </r>
  <r>
    <s v="17-2022"/>
    <n v="17"/>
    <d v="2022-06-29T00:00:00"/>
    <s v="MLS"/>
    <x v="4"/>
    <s v="Regular Season"/>
    <s v="FC Dallas"/>
    <x v="1"/>
    <x v="0"/>
    <n v="3"/>
    <n v="1"/>
    <n v="2"/>
    <n v="1.9"/>
    <n v="0.6"/>
    <n v="1.2999999999999998"/>
    <n v="-0.70000000000000018"/>
    <n v="90"/>
  </r>
  <r>
    <s v="18-2022"/>
    <n v="18"/>
    <d v="2022-07-02T00:00:00"/>
    <s v="MLS"/>
    <x v="4"/>
    <s v="Regular Season"/>
    <s v="Vancouver W'caps"/>
    <x v="0"/>
    <x v="1"/>
    <n v="0"/>
    <n v="1"/>
    <n v="-1"/>
    <n v="0.4"/>
    <n v="0.9"/>
    <n v="-0.5"/>
    <n v="0.5"/>
    <n v="0"/>
  </r>
  <r>
    <s v="19-2022"/>
    <n v="19"/>
    <d v="2022-07-08T00:00:00"/>
    <s v="MLS"/>
    <x v="4"/>
    <s v="Regular Season"/>
    <s v="LA Galaxy"/>
    <x v="1"/>
    <x v="0"/>
    <n v="3"/>
    <n v="2"/>
    <n v="1"/>
    <n v="1.5"/>
    <n v="1.7"/>
    <n v="-0.19999999999999996"/>
    <n v="-1.2"/>
    <n v="90"/>
  </r>
  <r>
    <s v="20-2022"/>
    <n v="20"/>
    <d v="2022-07-17T00:00:00"/>
    <s v="MLS"/>
    <x v="4"/>
    <s v="Regular Season"/>
    <s v="Nashville SC"/>
    <x v="0"/>
    <x v="0"/>
    <n v="2"/>
    <n v="1"/>
    <n v="1"/>
    <n v="1.6"/>
    <n v="2"/>
    <n v="-0.39999999999999991"/>
    <n v="-1.4"/>
    <n v="90"/>
  </r>
  <r>
    <s v="21-2022"/>
    <n v="21"/>
    <d v="2022-07-23T00:00:00"/>
    <s v="MLS"/>
    <x v="4"/>
    <s v="Regular Season"/>
    <s v="Sporting KC"/>
    <x v="0"/>
    <x v="0"/>
    <n v="2"/>
    <n v="0"/>
    <n v="2"/>
    <n v="1"/>
    <n v="0.5"/>
    <n v="0.5"/>
    <n v="-1.5"/>
    <n v="78"/>
  </r>
  <r>
    <s v="22-2022"/>
    <n v="22"/>
    <d v="2022-07-29T00:00:00"/>
    <s v="MLS"/>
    <x v="4"/>
    <s v="Regular Season"/>
    <s v="Seattle Sounders"/>
    <x v="1"/>
    <x v="0"/>
    <n v="2"/>
    <n v="1"/>
    <n v="1"/>
    <n v="1.6"/>
    <n v="0.9"/>
    <n v="0.70000000000000007"/>
    <n v="-0.29999999999999993"/>
    <n v="90"/>
  </r>
  <r>
    <s v="23-2022"/>
    <n v="23"/>
    <d v="2022-08-06T00:00:00"/>
    <s v="MLS"/>
    <x v="4"/>
    <s v="Regular Season"/>
    <s v="Real Salt Lake"/>
    <x v="0"/>
    <x v="0"/>
    <n v="4"/>
    <n v="1"/>
    <n v="3"/>
    <n v="1.4"/>
    <n v="0.7"/>
    <n v="0.7"/>
    <n v="-2.2999999999999998"/>
    <n v="64"/>
  </r>
  <r>
    <s v="24-2022"/>
    <n v="24"/>
    <d v="2022-08-13T00:00:00"/>
    <s v="MLS"/>
    <x v="4"/>
    <s v="Regular Season"/>
    <s v="Charlotte"/>
    <x v="1"/>
    <x v="0"/>
    <n v="5"/>
    <n v="0"/>
    <n v="5"/>
    <n v="2.6"/>
    <n v="0.2"/>
    <n v="2.4"/>
    <n v="-2.6"/>
    <n v="74"/>
  </r>
  <r>
    <s v="25-2022"/>
    <n v="25"/>
    <d v="2022-08-16T00:00:00"/>
    <s v="MLS"/>
    <x v="4"/>
    <s v="Regular Season"/>
    <s v="D.C. United"/>
    <x v="1"/>
    <x v="0"/>
    <n v="1"/>
    <n v="0"/>
    <n v="1"/>
    <n v="2"/>
    <n v="0.6"/>
    <n v="1.4"/>
    <n v="0.39999999999999991"/>
    <n v="73"/>
  </r>
  <r>
    <s v="26-2022"/>
    <n v="26"/>
    <d v="2022-08-20T00:00:00"/>
    <s v="MLS"/>
    <x v="4"/>
    <s v="Regular Season"/>
    <s v="SJ Earthquakes"/>
    <x v="0"/>
    <x v="1"/>
    <n v="1"/>
    <n v="2"/>
    <n v="-1"/>
    <n v="1.3"/>
    <n v="0.9"/>
    <n v="0.4"/>
    <n v="1.4"/>
    <n v="26"/>
  </r>
  <r>
    <s v="27-2022"/>
    <n v="27"/>
    <d v="2022-08-26T00:00:00"/>
    <s v="MLS"/>
    <x v="4"/>
    <s v="Regular Season"/>
    <s v="Austin"/>
    <x v="0"/>
    <x v="1"/>
    <n v="1"/>
    <n v="4"/>
    <n v="-3"/>
    <n v="1.5"/>
    <n v="0.6"/>
    <n v="0.9"/>
    <n v="3.9"/>
    <n v="77"/>
  </r>
  <r>
    <s v="28-2022"/>
    <n v="28"/>
    <d v="2022-08-31T00:00:00"/>
    <s v="MLS"/>
    <x v="4"/>
    <s v="Regular Season"/>
    <s v="Houston Dynamo"/>
    <x v="0"/>
    <x v="1"/>
    <n v="1"/>
    <n v="2"/>
    <n v="-1"/>
    <n v="2.7"/>
    <n v="1.4"/>
    <n v="1.3000000000000003"/>
    <n v="2.3000000000000003"/>
    <n v="59"/>
  </r>
  <r>
    <s v="29-2022"/>
    <n v="29"/>
    <d v="2022-09-04T00:00:00"/>
    <s v="MLS"/>
    <x v="4"/>
    <s v="Regular Season"/>
    <s v="Real Salt Lake"/>
    <x v="1"/>
    <x v="0"/>
    <n v="2"/>
    <n v="0"/>
    <n v="2"/>
    <n v="3.1"/>
    <n v="0.3"/>
    <n v="2.8000000000000003"/>
    <n v="0.80000000000000027"/>
    <n v="32"/>
  </r>
  <r>
    <s v="30-2022"/>
    <n v="30"/>
    <d v="2022-09-10T00:00:00"/>
    <s v="MLS"/>
    <x v="4"/>
    <s v="Regular Season"/>
    <s v="FC Dallas"/>
    <x v="0"/>
    <x v="1"/>
    <n v="1"/>
    <n v="2"/>
    <n v="-1"/>
    <n v="1.1000000000000001"/>
    <n v="0.9"/>
    <n v="0.20000000000000007"/>
    <n v="1.2000000000000002"/>
    <n v="59"/>
  </r>
  <r>
    <s v="31-2022"/>
    <n v="31"/>
    <d v="2022-09-13T00:00:00"/>
    <s v="MLS"/>
    <x v="4"/>
    <s v="Regular Season"/>
    <s v="Minnesota Utd"/>
    <x v="0"/>
    <x v="2"/>
    <n v="1"/>
    <n v="1"/>
    <n v="0"/>
    <n v="1.1000000000000001"/>
    <n v="1.6"/>
    <n v="-0.5"/>
    <n v="-0.5"/>
    <n v="90"/>
  </r>
  <r>
    <s v="32-2022"/>
    <n v="32"/>
    <d v="2022-09-18T00:00:00"/>
    <s v="MLS"/>
    <x v="4"/>
    <s v="Regular Season"/>
    <s v="Houston Dynamo"/>
    <x v="1"/>
    <x v="0"/>
    <n v="3"/>
    <n v="1"/>
    <n v="2"/>
    <n v="3"/>
    <n v="0.9"/>
    <n v="2.1"/>
    <n v="0.10000000000000009"/>
    <n v="63"/>
  </r>
  <r>
    <s v="33-2022"/>
    <n v="33"/>
    <d v="2022-10-02T00:00:00"/>
    <s v="MLS"/>
    <x v="4"/>
    <s v="Regular Season"/>
    <s v="Portland Timbers"/>
    <x v="0"/>
    <x v="0"/>
    <n v="2"/>
    <n v="1"/>
    <n v="1"/>
    <n v="1"/>
    <n v="1.2"/>
    <n v="-0.19999999999999996"/>
    <n v="-1.2"/>
    <n v="77"/>
  </r>
  <r>
    <s v="34-2022"/>
    <n v="34"/>
    <d v="2022-10-09T00:00:00"/>
    <s v="MLS"/>
    <x v="4"/>
    <s v="Regular Season"/>
    <s v="Nashville SC"/>
    <x v="1"/>
    <x v="1"/>
    <n v="0"/>
    <n v="1"/>
    <n v="-1"/>
    <n v="4.5"/>
    <n v="1.2"/>
    <n v="3.3"/>
    <n v="4.3"/>
    <n v="40"/>
  </r>
  <r>
    <s v="35-2022"/>
    <n v="35"/>
    <d v="2022-10-20T00:00:00"/>
    <s v="MLS"/>
    <x v="4"/>
    <s v="Conference Semifinals"/>
    <s v="LA Galaxy"/>
    <x v="1"/>
    <x v="0"/>
    <n v="3"/>
    <n v="2"/>
    <n v="1"/>
    <n v="2.5"/>
    <n v="0.4"/>
    <n v="2.1"/>
    <n v="1.1000000000000001"/>
    <n v="78"/>
  </r>
  <r>
    <s v="36-2022"/>
    <n v="36"/>
    <d v="2022-10-30T00:00:00"/>
    <s v="MLS"/>
    <x v="4"/>
    <s v="Conference Finals"/>
    <s v="Austin"/>
    <x v="1"/>
    <x v="0"/>
    <n v="3"/>
    <n v="0"/>
    <n v="3"/>
    <n v="2.1"/>
    <n v="0.3"/>
    <n v="1.8"/>
    <n v="-1.2"/>
    <n v="77"/>
  </r>
  <r>
    <s v="37-2022"/>
    <n v="37"/>
    <d v="2022-11-05T00:00:00"/>
    <s v="MLS"/>
    <x v="4"/>
    <s v="MLS Cup"/>
    <s v="Philadelphia Union"/>
    <x v="1"/>
    <x v="2"/>
    <n v="3"/>
    <n v="3"/>
    <n v="0"/>
    <n v="1"/>
    <n v="1.6"/>
    <n v="-0.60000000000000009"/>
    <n v="-0.60000000000000009"/>
    <n v="97"/>
  </r>
  <r>
    <s v="1-2023"/>
    <n v="1"/>
    <d v="2023-03-04T00:00:00"/>
    <s v="MLS"/>
    <x v="5"/>
    <s v="Regular Season"/>
    <s v="Portland Timbers"/>
    <x v="1"/>
    <x v="0"/>
    <n v="3"/>
    <n v="2"/>
    <n v="1"/>
    <n v="1.7"/>
    <n v="1.1000000000000001"/>
    <n v="0.59999999999999987"/>
    <n v="-0.40000000000000013"/>
    <n v="66"/>
  </r>
  <r>
    <s v="2-2023"/>
    <n v="2"/>
    <d v="2023-03-12T00:00:00"/>
    <s v="MLS"/>
    <x v="5"/>
    <s v="Regular Season"/>
    <s v="NE Revolution"/>
    <x v="1"/>
    <x v="0"/>
    <n v="4"/>
    <n v="0"/>
    <n v="4"/>
    <n v="2.9"/>
    <n v="0.4"/>
    <n v="2.5"/>
    <n v="-1.5"/>
    <n v="25"/>
  </r>
  <r>
    <s v="3-2023"/>
    <n v="3"/>
    <d v="2023-03-18T00:00:00"/>
    <s v="MLS"/>
    <x v="5"/>
    <s v="Regular Season"/>
    <s v="Seattle Sounders"/>
    <x v="0"/>
    <x v="2"/>
    <n v="0"/>
    <n v="0"/>
    <n v="0"/>
    <n v="1.2"/>
    <n v="1.3"/>
    <n v="-0.10000000000000009"/>
    <n v="-0.10000000000000009"/>
    <n v="66"/>
  </r>
  <r>
    <s v="4-2023"/>
    <n v="4"/>
    <d v="2023-03-25T00:00:00"/>
    <s v="MLS"/>
    <x v="5"/>
    <s v="Regular Season"/>
    <s v="FC Dallas"/>
    <x v="1"/>
    <x v="0"/>
    <n v="2"/>
    <n v="1"/>
    <n v="1"/>
    <n v="2.2999999999999998"/>
    <n v="0.5"/>
    <n v="1.7999999999999998"/>
    <n v="0.79999999999999982"/>
    <n v="90"/>
  </r>
  <r>
    <s v="5-2023"/>
    <n v="5"/>
    <d v="2023-04-01T00:00:00"/>
    <s v="MLS"/>
    <x v="5"/>
    <s v="Regular Season"/>
    <s v="Colorado Rapids"/>
    <x v="0"/>
    <x v="2"/>
    <n v="0"/>
    <n v="0"/>
    <n v="0"/>
    <n v="0.6"/>
    <n v="1"/>
    <n v="-0.4"/>
    <n v="-0.4"/>
    <n v="74"/>
  </r>
  <r>
    <s v="6-2023"/>
    <n v="6"/>
    <d v="2023-04-08T00:00:00"/>
    <s v="MLS"/>
    <x v="5"/>
    <s v="Regular Season"/>
    <s v="Austin"/>
    <x v="1"/>
    <x v="0"/>
    <n v="3"/>
    <n v="0"/>
    <n v="3"/>
    <n v="1.4"/>
    <n v="0.4"/>
    <n v="0.99999999999999989"/>
    <n v="-2"/>
    <n v="29"/>
  </r>
  <r>
    <s v="7-2023"/>
    <n v="7"/>
    <d v="2023-04-16T00:00:00"/>
    <s v="MLS"/>
    <x v="5"/>
    <s v="Regular Season"/>
    <s v="LA Galaxy"/>
    <x v="0"/>
    <x v="0"/>
    <n v="3"/>
    <n v="2"/>
    <n v="1"/>
    <n v="2.2000000000000002"/>
    <n v="1.8"/>
    <n v="0.40000000000000013"/>
    <n v="-0.59999999999999987"/>
    <n v="71"/>
  </r>
  <r>
    <s v="8-2023"/>
    <n v="8"/>
    <d v="2023-04-22T00:00:00"/>
    <s v="MLS"/>
    <x v="5"/>
    <s v="Regular Season"/>
    <s v="Nashville SC"/>
    <x v="0"/>
    <x v="2"/>
    <n v="1"/>
    <n v="1"/>
    <n v="0"/>
    <n v="1.7"/>
    <n v="1.1000000000000001"/>
    <n v="0.59999999999999987"/>
    <n v="0.59999999999999987"/>
    <n v="20"/>
  </r>
  <r>
    <s v="9-2023"/>
    <n v="9"/>
    <d v="2023-05-06T00:00:00"/>
    <s v="MLS"/>
    <x v="5"/>
    <s v="Regular Season"/>
    <s v="SJ Earthquakes"/>
    <x v="0"/>
    <x v="1"/>
    <n v="1"/>
    <n v="2"/>
    <n v="-1"/>
    <n v="1.2"/>
    <n v="2.2999999999999998"/>
    <n v="-1.0999999999999999"/>
    <n v="-9.9999999999999867E-2"/>
    <n v="75"/>
  </r>
  <r>
    <s v="10-2023"/>
    <n v="10"/>
    <d v="2023-05-13T00:00:00"/>
    <s v="MLS"/>
    <x v="5"/>
    <s v="Regular Season"/>
    <s v="Real Salt Lake"/>
    <x v="0"/>
    <x v="0"/>
    <n v="3"/>
    <n v="0"/>
    <n v="3"/>
    <n v="2.4"/>
    <n v="1.4"/>
    <n v="1"/>
    <n v="-2"/>
    <n v="80"/>
  </r>
  <r>
    <s v="11-2023"/>
    <n v="11"/>
    <d v="2023-05-17T00:00:00"/>
    <s v="MLS"/>
    <x v="5"/>
    <s v="Regular Season"/>
    <s v="Sporting KC"/>
    <x v="1"/>
    <x v="2"/>
    <n v="1"/>
    <n v="1"/>
    <n v="0"/>
    <n v="1.2"/>
    <n v="0.4"/>
    <n v="0.79999999999999993"/>
    <n v="0.79999999999999993"/>
    <n v="67"/>
  </r>
  <r>
    <s v="12-2023"/>
    <n v="12"/>
    <d v="2023-05-20T00:00:00"/>
    <s v="MLS"/>
    <x v="5"/>
    <s v="Regular Season"/>
    <s v="SJ Earthquakes"/>
    <x v="1"/>
    <x v="0"/>
    <n v="2"/>
    <n v="1"/>
    <n v="1"/>
    <n v="1.7"/>
    <n v="0.7"/>
    <n v="1"/>
    <n v="0"/>
    <n v="27"/>
  </r>
  <r>
    <s v="13-2023"/>
    <n v="13"/>
    <d v="2023-06-07T00:00:00"/>
    <s v="MLS"/>
    <x v="5"/>
    <s v="Regular Season"/>
    <s v="Atlanta Utd"/>
    <x v="1"/>
    <x v="2"/>
    <n v="0"/>
    <n v="0"/>
    <n v="0"/>
    <n v="2.2999999999999998"/>
    <n v="0.8"/>
    <n v="1.4999999999999998"/>
    <n v="1.4999999999999998"/>
    <n v="31"/>
  </r>
  <r>
    <s v="14-2023"/>
    <n v="14"/>
    <d v="2023-06-10T00:00:00"/>
    <s v="MLS"/>
    <x v="5"/>
    <s v="Regular Season"/>
    <s v="Houston Dynamo"/>
    <x v="0"/>
    <x v="1"/>
    <n v="0"/>
    <n v="4"/>
    <n v="-4"/>
    <n v="0.7"/>
    <n v="2.1"/>
    <n v="-1.4000000000000001"/>
    <n v="2.5999999999999996"/>
    <n v="71"/>
  </r>
  <r>
    <s v="15-2023"/>
    <n v="15"/>
    <d v="2023-06-14T00:00:00"/>
    <s v="MLS"/>
    <x v="5"/>
    <s v="Regular Season"/>
    <s v="Houston Dynamo"/>
    <x v="1"/>
    <x v="1"/>
    <n v="0"/>
    <n v="1"/>
    <n v="-1"/>
    <n v="0.7"/>
    <n v="0.6"/>
    <n v="9.9999999999999978E-2"/>
    <n v="1.1000000000000001"/>
    <n v="90"/>
  </r>
  <r>
    <s v="16-2023"/>
    <n v="16"/>
    <d v="2023-06-17T00:00:00"/>
    <s v="MLS"/>
    <x v="5"/>
    <s v="Regular Season"/>
    <s v="Sporting KC"/>
    <x v="0"/>
    <x v="0"/>
    <n v="2"/>
    <n v="1"/>
    <n v="1"/>
    <n v="1.1000000000000001"/>
    <n v="2"/>
    <n v="-0.89999999999999991"/>
    <n v="-1.9"/>
    <n v="45"/>
  </r>
  <r>
    <s v="17-2023"/>
    <n v="17"/>
    <d v="2023-06-21T00:00:00"/>
    <s v="MLS"/>
    <x v="5"/>
    <s v="Regular Season"/>
    <s v="Seattle Sounders"/>
    <x v="1"/>
    <x v="0"/>
    <n v="1"/>
    <n v="0"/>
    <n v="1"/>
    <n v="1.1000000000000001"/>
    <n v="0.5"/>
    <n v="0.60000000000000009"/>
    <n v="-0.39999999999999991"/>
    <n v="71"/>
  </r>
  <r>
    <s v="18-2023"/>
    <n v="18"/>
    <d v="2023-06-24T00:00:00"/>
    <s v="MLS"/>
    <x v="5"/>
    <s v="Regular Season"/>
    <s v="Vancouver W'caps"/>
    <x v="1"/>
    <x v="1"/>
    <n v="2"/>
    <n v="3"/>
    <n v="-1"/>
    <n v="2.2000000000000002"/>
    <n v="1.5"/>
    <n v="0.70000000000000018"/>
    <n v="1.7000000000000002"/>
    <n v="90"/>
  </r>
  <r>
    <s v="19-2023"/>
    <n v="19"/>
    <d v="2023-07-01T00:00:00"/>
    <s v="MLS"/>
    <x v="5"/>
    <s v="Regular Season"/>
    <s v="FC Dallas"/>
    <x v="0"/>
    <x v="1"/>
    <n v="0"/>
    <n v="2"/>
    <n v="-2"/>
    <n v="1.1000000000000001"/>
    <n v="1"/>
    <n v="0.10000000000000009"/>
    <n v="2.1"/>
    <n v="25"/>
  </r>
  <r>
    <s v="20-2023"/>
    <n v="20"/>
    <d v="2023-07-04T00:00:00"/>
    <s v="MLS"/>
    <x v="5"/>
    <s v="Regular Season"/>
    <s v="LA Galaxy"/>
    <x v="0"/>
    <x v="1"/>
    <n v="1"/>
    <n v="2"/>
    <n v="-1"/>
    <n v="1.6"/>
    <n v="1.4"/>
    <n v="0.20000000000000018"/>
    <n v="1.2000000000000002"/>
    <n v="90"/>
  </r>
  <r>
    <s v="21-2023"/>
    <n v="21"/>
    <d v="2023-07-08T00:00:00"/>
    <s v="MLS"/>
    <x v="5"/>
    <s v="Regular Season"/>
    <s v="SJ Earthquakes"/>
    <x v="1"/>
    <x v="2"/>
    <n v="1"/>
    <n v="1"/>
    <n v="0"/>
    <n v="1.7"/>
    <n v="0.6"/>
    <n v="1.1000000000000001"/>
    <n v="1.1000000000000001"/>
    <n v="18"/>
  </r>
  <r>
    <s v="22-2023"/>
    <n v="22"/>
    <d v="2023-07-12T00:00:00"/>
    <s v="MLS"/>
    <x v="5"/>
    <s v="Regular Season"/>
    <s v="St. Louis"/>
    <x v="1"/>
    <x v="0"/>
    <n v="3"/>
    <n v="0"/>
    <n v="3"/>
    <n v="1.6"/>
    <n v="0.3"/>
    <n v="1.3"/>
    <n v="-1.7"/>
    <n v="86"/>
  </r>
  <r>
    <s v="23-2023"/>
    <n v="23"/>
    <d v="2023-07-15T00:00:00"/>
    <s v="MLS"/>
    <x v="5"/>
    <s v="Regular Season"/>
    <s v="Minnesota Utd"/>
    <x v="0"/>
    <x v="2"/>
    <n v="1"/>
    <n v="1"/>
    <n v="0"/>
    <n v="0.9"/>
    <n v="2"/>
    <n v="-1.1000000000000001"/>
    <n v="-1.1000000000000001"/>
    <n v="60"/>
  </r>
  <r>
    <s v="24-2023"/>
    <n v="24"/>
    <d v="2023-08-23T00:00:00"/>
    <s v="MLS"/>
    <x v="5"/>
    <s v="Regular Season"/>
    <s v="Colorado Rapids"/>
    <x v="1"/>
    <x v="0"/>
    <n v="4"/>
    <n v="0"/>
    <n v="4"/>
    <n v="2.8"/>
    <n v="0.6"/>
    <n v="2.1999999999999997"/>
    <n v="-1.8000000000000003"/>
    <n v="64"/>
  </r>
  <r>
    <s v="25-2023"/>
    <n v="25"/>
    <d v="2023-08-26T00:00:00"/>
    <s v="MLS"/>
    <x v="5"/>
    <s v="Regular Season"/>
    <s v="Charlotte"/>
    <x v="0"/>
    <x v="1"/>
    <n v="1"/>
    <n v="2"/>
    <n v="-1"/>
    <n v="2.2999999999999998"/>
    <n v="1.8"/>
    <n v="0.49999999999999978"/>
    <n v="1.4999999999999998"/>
    <n v="63"/>
  </r>
  <r>
    <s v="26-2023"/>
    <n v="26"/>
    <d v="2023-09-03T00:00:00"/>
    <s v="MLS"/>
    <x v="5"/>
    <s v="Regular Season"/>
    <s v="Inter Miami"/>
    <x v="1"/>
    <x v="1"/>
    <n v="1"/>
    <n v="3"/>
    <n v="-2"/>
    <n v="2.2999999999999998"/>
    <n v="2.1"/>
    <n v="0.19999999999999973"/>
    <n v="2.1999999999999997"/>
    <n v="90"/>
  </r>
  <r>
    <s v="27-2023"/>
    <n v="27"/>
    <d v="2023-09-09T00:00:00"/>
    <s v="MLS"/>
    <x v="5"/>
    <s v="Regular Season"/>
    <s v="Portland Timbers"/>
    <x v="0"/>
    <x v="1"/>
    <n v="0"/>
    <n v="2"/>
    <n v="-2"/>
    <n v="1.1000000000000001"/>
    <n v="2.2000000000000002"/>
    <n v="-1.1000000000000001"/>
    <n v="0.89999999999999991"/>
    <n v="90"/>
  </r>
  <r>
    <s v="28-2023"/>
    <n v="28"/>
    <d v="2023-09-16T00:00:00"/>
    <s v="MLS"/>
    <x v="5"/>
    <s v="Regular Season"/>
    <s v="LA Galaxy"/>
    <x v="1"/>
    <x v="0"/>
    <n v="4"/>
    <n v="2"/>
    <n v="2"/>
    <n v="1.5"/>
    <n v="0.8"/>
    <n v="0.7"/>
    <n v="-1.3"/>
    <n v="77"/>
  </r>
  <r>
    <s v="29-2023"/>
    <n v="29"/>
    <d v="2023-09-20T00:00:00"/>
    <s v="MLS"/>
    <x v="5"/>
    <s v="Regular Season"/>
    <s v="St. Louis"/>
    <x v="0"/>
    <x v="2"/>
    <n v="0"/>
    <n v="0"/>
    <n v="0"/>
    <n v="0.7"/>
    <n v="0.6"/>
    <n v="9.9999999999999978E-2"/>
    <n v="9.9999999999999978E-2"/>
    <n v="30"/>
  </r>
  <r>
    <s v="30-2023"/>
    <n v="30"/>
    <d v="2023-09-23T00:00:00"/>
    <s v="MLS"/>
    <x v="5"/>
    <s v="Regular Season"/>
    <s v="Philadelphia Union"/>
    <x v="0"/>
    <x v="2"/>
    <n v="0"/>
    <n v="0"/>
    <n v="0"/>
    <n v="0"/>
    <n v="0.3"/>
    <n v="-0.3"/>
    <n v="-0.3"/>
    <n v="19"/>
  </r>
  <r>
    <s v="31-2023"/>
    <n v="31"/>
    <d v="2023-10-01T00:00:00"/>
    <s v="MLS"/>
    <x v="5"/>
    <s v="Regular Season"/>
    <s v="Real Salt Lake"/>
    <x v="1"/>
    <x v="1"/>
    <n v="0"/>
    <n v="1"/>
    <n v="-1"/>
    <n v="1.2"/>
    <n v="0.5"/>
    <n v="0.7"/>
    <n v="1.7"/>
    <n v="90"/>
  </r>
  <r>
    <s v="32-2023"/>
    <n v="32"/>
    <d v="2023-10-04T00:00:00"/>
    <s v="MLS"/>
    <x v="5"/>
    <s v="Regular Season"/>
    <s v="Minnesota Utd"/>
    <x v="1"/>
    <x v="0"/>
    <n v="5"/>
    <n v="1"/>
    <n v="4"/>
    <n v="3.7"/>
    <n v="1.6"/>
    <n v="2.1"/>
    <n v="-1.9"/>
    <n v="68"/>
  </r>
  <r>
    <s v="33-2023"/>
    <n v="33"/>
    <d v="2023-10-07T00:00:00"/>
    <s v="MLS"/>
    <x v="5"/>
    <s v="Regular Season"/>
    <s v="Austin"/>
    <x v="0"/>
    <x v="0"/>
    <n v="4"/>
    <n v="2"/>
    <n v="2"/>
    <n v="3"/>
    <n v="0.4"/>
    <n v="2.6"/>
    <n v="0.60000000000000009"/>
    <n v="29"/>
  </r>
  <r>
    <s v="34-2023"/>
    <n v="34"/>
    <d v="2023-10-21T00:00:00"/>
    <s v="MLS"/>
    <x v="5"/>
    <s v="Regular Season"/>
    <s v="Vancouver W'caps"/>
    <x v="0"/>
    <x v="2"/>
    <n v="1"/>
    <n v="1"/>
    <n v="0"/>
    <n v="1.6"/>
    <n v="2"/>
    <n v="-0.39999999999999991"/>
    <n v="-0.39999999999999991"/>
    <n v="85"/>
  </r>
  <r>
    <s v="35-2023"/>
    <n v="35"/>
    <d v="2023-10-28T00:00:00"/>
    <s v="MLS"/>
    <x v="5"/>
    <s v="Round One"/>
    <s v="Vancouver W'caps"/>
    <x v="1"/>
    <x v="0"/>
    <n v="5"/>
    <n v="2"/>
    <n v="3"/>
    <n v="1.3"/>
    <n v="0.5"/>
    <n v="0.8"/>
    <n v="-2.2000000000000002"/>
    <n v="71"/>
  </r>
  <r>
    <s v="36-2023"/>
    <n v="36"/>
    <d v="2023-11-05T00:00:00"/>
    <s v="MLS"/>
    <x v="5"/>
    <s v="Round One"/>
    <s v="Vancouver W'caps"/>
    <x v="0"/>
    <x v="0"/>
    <n v="1"/>
    <n v="0"/>
    <n v="1"/>
    <n v="1.3"/>
    <n v="1"/>
    <n v="0.30000000000000004"/>
    <n v="-0.7"/>
    <n v="4"/>
  </r>
  <r>
    <s v="37-2023"/>
    <n v="37"/>
    <d v="2023-11-26T00:00:00"/>
    <s v="MLS"/>
    <x v="5"/>
    <s v="Conference Semifinals"/>
    <s v="Seattle Sounders"/>
    <x v="0"/>
    <x v="0"/>
    <n v="1"/>
    <n v="0"/>
    <n v="1"/>
    <n v="0.4"/>
    <n v="1.3"/>
    <n v="-0.9"/>
    <n v="-1.9"/>
    <n v="78"/>
  </r>
  <r>
    <s v="38-2023"/>
    <n v="38"/>
    <d v="2023-12-02T00:00:00"/>
    <s v="MLS"/>
    <x v="5"/>
    <s v="Conference Finals"/>
    <s v="Houston Dynamo"/>
    <x v="1"/>
    <x v="0"/>
    <n v="2"/>
    <n v="0"/>
    <n v="2"/>
    <n v="1.8"/>
    <n v="0.5"/>
    <n v="1.3"/>
    <n v="-0.7"/>
    <n v="77"/>
  </r>
  <r>
    <s v="39-2023"/>
    <n v="39"/>
    <d v="2023-12-09T00:00:00"/>
    <s v="MLS"/>
    <x v="5"/>
    <s v="MLS Cup"/>
    <s v="Columbus Crew"/>
    <x v="0"/>
    <x v="1"/>
    <n v="1"/>
    <n v="2"/>
    <n v="-1"/>
    <n v="0.8"/>
    <n v="2"/>
    <n v="-1.2"/>
    <n v="-0.19999999999999996"/>
    <n v="90"/>
  </r>
  <r>
    <m/>
    <m/>
    <m/>
    <m/>
    <x v="6"/>
    <m/>
    <m/>
    <x v="2"/>
    <x v="3"/>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s v="1-2018"/>
    <n v="1"/>
    <x v="0"/>
    <s v="MLS"/>
    <x v="0"/>
    <s v="Regular Season"/>
    <s v="Seattle Sounders"/>
    <s v="Away"/>
    <s v="W"/>
    <n v="1"/>
    <n v="0"/>
    <n v="1"/>
    <n v="0.3"/>
    <n v="1.9"/>
    <n v="-1.5999999999999999"/>
    <n v="-2.5999999999999996"/>
    <n v="90"/>
    <x v="0"/>
    <x v="0"/>
    <n v="1"/>
    <x v="0"/>
    <n v="0"/>
    <n v="3150"/>
    <n v="0.7"/>
    <n v="-1.9"/>
  </r>
  <r>
    <s v="2-2018"/>
    <n v="2"/>
    <x v="1"/>
    <s v="MLS"/>
    <x v="0"/>
    <s v="Regular Season"/>
    <s v="Real Salt Lake"/>
    <s v="Away"/>
    <s v="W"/>
    <n v="5"/>
    <n v="1"/>
    <n v="4"/>
    <n v="5.0999999999999996"/>
    <n v="2.2000000000000002"/>
    <n v="2.8999999999999995"/>
    <n v="-1.1000000000000005"/>
    <n v="90"/>
    <x v="0"/>
    <x v="0"/>
    <n v="1"/>
    <x v="0"/>
    <n v="0"/>
    <n v="3150"/>
    <n v="-9.9999999999999645E-2"/>
    <n v="-1.2000000000000002"/>
  </r>
  <r>
    <s v="3-2018"/>
    <n v="3"/>
    <x v="2"/>
    <s v="MLS"/>
    <x v="0"/>
    <s v="Regular Season"/>
    <s v="LA Galaxy"/>
    <s v="Away"/>
    <s v="L"/>
    <n v="3"/>
    <n v="4"/>
    <n v="-1"/>
    <n v="1.1000000000000001"/>
    <n v="1.5"/>
    <n v="-0.39999999999999991"/>
    <n v="0.60000000000000009"/>
    <n v="90"/>
    <x v="0"/>
    <x v="0"/>
    <n v="0"/>
    <x v="0"/>
    <n v="0"/>
    <n v="3150"/>
    <n v="1.9"/>
    <n v="2.5"/>
  </r>
  <r>
    <s v="4-2018"/>
    <n v="4"/>
    <x v="3"/>
    <s v="MLS"/>
    <x v="0"/>
    <s v="Regular Season"/>
    <s v="Atlanta Utd"/>
    <s v="Away"/>
    <s v="L"/>
    <n v="0"/>
    <n v="5"/>
    <n v="-5"/>
    <n v="0.8"/>
    <n v="3.3"/>
    <n v="-2.5"/>
    <n v="2.5"/>
    <n v="90"/>
    <x v="0"/>
    <x v="0"/>
    <n v="0"/>
    <x v="0"/>
    <n v="0"/>
    <n v="3150"/>
    <n v="-0.8"/>
    <n v="1.7000000000000002"/>
  </r>
  <r>
    <s v="5-2018"/>
    <n v="5"/>
    <x v="4"/>
    <s v="MLS"/>
    <x v="0"/>
    <s v="Regular Season"/>
    <s v="Vancouver W'caps"/>
    <s v="Away"/>
    <s v="W"/>
    <n v="2"/>
    <n v="0"/>
    <n v="2"/>
    <n v="1.7"/>
    <n v="0.3"/>
    <n v="1.4"/>
    <n v="-0.60000000000000009"/>
    <n v="90"/>
    <x v="0"/>
    <x v="0"/>
    <n v="1"/>
    <x v="0"/>
    <n v="0"/>
    <n v="3150"/>
    <n v="0.30000000000000004"/>
    <n v="-0.3"/>
  </r>
  <r>
    <s v="6-2018"/>
    <n v="6"/>
    <x v="5"/>
    <s v="MLS"/>
    <x v="0"/>
    <s v="Regular Season"/>
    <s v="Montreal Impact"/>
    <s v="Away"/>
    <s v="W"/>
    <n v="5"/>
    <n v="3"/>
    <n v="2"/>
    <n v="4.2"/>
    <n v="1.8"/>
    <n v="2.4000000000000004"/>
    <n v="0.40000000000000036"/>
    <n v="90"/>
    <x v="0"/>
    <x v="0"/>
    <n v="1"/>
    <x v="0"/>
    <n v="0"/>
    <n v="3150"/>
    <n v="0.79999999999999982"/>
    <n v="1.2"/>
  </r>
  <r>
    <s v="7-2018"/>
    <n v="7"/>
    <x v="6"/>
    <s v="MLS"/>
    <x v="0"/>
    <s v="Regular Season"/>
    <s v="Seattle Sounders"/>
    <s v="Home"/>
    <s v="W"/>
    <n v="1"/>
    <n v="0"/>
    <n v="1"/>
    <n v="2.2000000000000002"/>
    <n v="1.5"/>
    <n v="0.70000000000000018"/>
    <n v="-0.29999999999999982"/>
    <n v="90"/>
    <x v="0"/>
    <x v="0"/>
    <n v="1"/>
    <x v="0"/>
    <n v="0"/>
    <n v="3150"/>
    <n v="-1.2000000000000002"/>
    <n v="-1.5"/>
  </r>
  <r>
    <s v="8-2018"/>
    <n v="8"/>
    <x v="7"/>
    <s v="MLS"/>
    <x v="0"/>
    <s v="Regular Season"/>
    <s v="FC Dallas"/>
    <s v="Home"/>
    <s v="D"/>
    <n v="1"/>
    <n v="1"/>
    <n v="0"/>
    <n v="2"/>
    <n v="0.9"/>
    <n v="1.1000000000000001"/>
    <n v="1.1000000000000001"/>
    <n v="90"/>
    <x v="0"/>
    <x v="0"/>
    <n v="0"/>
    <x v="0"/>
    <n v="0"/>
    <n v="3150"/>
    <n v="-1"/>
    <n v="9.9999999999999978E-2"/>
  </r>
  <r>
    <s v="9-2018"/>
    <n v="9"/>
    <x v="8"/>
    <s v="MLS"/>
    <x v="0"/>
    <s v="Regular Season"/>
    <s v="Minnesota Utd"/>
    <s v="Home"/>
    <s v="W"/>
    <n v="2"/>
    <n v="0"/>
    <n v="2"/>
    <n v="2.4"/>
    <n v="0.6"/>
    <n v="1.7999999999999998"/>
    <n v="-0.20000000000000018"/>
    <n v="90"/>
    <x v="0"/>
    <x v="0"/>
    <n v="1"/>
    <x v="0"/>
    <n v="0"/>
    <n v="3150"/>
    <n v="-0.39999999999999991"/>
    <n v="-0.6"/>
  </r>
  <r>
    <s v="10-2018"/>
    <n v="10"/>
    <x v="9"/>
    <s v="MLS"/>
    <x v="0"/>
    <s v="Regular Season"/>
    <s v="NYCFC"/>
    <s v="Home"/>
    <s v="D"/>
    <n v="2"/>
    <n v="2"/>
    <n v="0"/>
    <n v="1.4"/>
    <n v="2.2000000000000002"/>
    <n v="-0.80000000000000027"/>
    <n v="-0.80000000000000027"/>
    <n v="90"/>
    <x v="0"/>
    <x v="0"/>
    <n v="0"/>
    <x v="0"/>
    <n v="0"/>
    <n v="3150"/>
    <n v="0.60000000000000009"/>
    <n v="-0.20000000000000018"/>
  </r>
  <r>
    <s v="11-2018"/>
    <n v="11"/>
    <x v="10"/>
    <s v="MLS"/>
    <x v="0"/>
    <s v="Regular Season"/>
    <s v="Portland Timbers"/>
    <s v="Away"/>
    <s v="L"/>
    <n v="1"/>
    <n v="2"/>
    <n v="-1"/>
    <n v="1.4"/>
    <n v="2.5"/>
    <n v="-1.1000000000000001"/>
    <n v="-0.10000000000000009"/>
    <n v="90"/>
    <x v="0"/>
    <x v="0"/>
    <n v="0"/>
    <x v="0"/>
    <n v="0"/>
    <n v="3150"/>
    <n v="-0.39999999999999991"/>
    <n v="-0.5"/>
  </r>
  <r>
    <s v="12-2018"/>
    <n v="12"/>
    <x v="11"/>
    <s v="MLS"/>
    <x v="0"/>
    <s v="Regular Season"/>
    <s v="D.C. United"/>
    <s v="Home"/>
    <s v="D"/>
    <n v="1"/>
    <n v="1"/>
    <n v="0"/>
    <n v="2"/>
    <n v="1.5"/>
    <n v="0.5"/>
    <n v="0.5"/>
    <n v="90"/>
    <x v="0"/>
    <x v="0"/>
    <n v="0"/>
    <x v="0"/>
    <n v="0"/>
    <n v="3150"/>
    <n v="-1"/>
    <n v="-0.5"/>
  </r>
  <r>
    <s v="13-2018"/>
    <n v="13"/>
    <x v="12"/>
    <s v="MLS"/>
    <x v="0"/>
    <s v="Regular Season"/>
    <s v="FC Dallas"/>
    <s v="Away"/>
    <s v="L"/>
    <n v="1"/>
    <n v="2"/>
    <n v="-1"/>
    <n v="0.9"/>
    <n v="2.5"/>
    <n v="-1.6"/>
    <n v="-0.60000000000000009"/>
    <n v="0"/>
    <x v="1"/>
    <x v="1"/>
    <n v="0"/>
    <x v="0"/>
    <n v="0"/>
    <n v="3150"/>
    <n v="9.9999999999999978E-2"/>
    <n v="-0.5"/>
  </r>
  <r>
    <s v="14-2018"/>
    <n v="14"/>
    <x v="13"/>
    <s v="MLS"/>
    <x v="0"/>
    <s v="Regular Season"/>
    <s v="SJ Earthquakes"/>
    <s v="Away"/>
    <s v="W"/>
    <n v="4"/>
    <n v="3"/>
    <n v="1"/>
    <n v="2.2999999999999998"/>
    <n v="1.1000000000000001"/>
    <n v="1.1999999999999997"/>
    <n v="0.19999999999999973"/>
    <n v="0"/>
    <x v="1"/>
    <x v="1"/>
    <n v="1"/>
    <x v="0"/>
    <n v="0"/>
    <n v="3150"/>
    <n v="1.7000000000000002"/>
    <n v="1.9"/>
  </r>
  <r>
    <s v="15-2018"/>
    <n v="15"/>
    <x v="14"/>
    <s v="MLS"/>
    <x v="0"/>
    <s v="Regular Season"/>
    <s v="Columbus Crew"/>
    <s v="Home"/>
    <s v="W"/>
    <n v="2"/>
    <n v="0"/>
    <n v="2"/>
    <n v="1.8"/>
    <n v="0.5"/>
    <n v="1.3"/>
    <n v="-0.7"/>
    <n v="0"/>
    <x v="1"/>
    <x v="1"/>
    <n v="1"/>
    <x v="0"/>
    <n v="0"/>
    <n v="3150"/>
    <n v="0.19999999999999996"/>
    <n v="-0.5"/>
  </r>
  <r>
    <s v="16-2018"/>
    <n v="16"/>
    <x v="15"/>
    <s v="MLS"/>
    <x v="0"/>
    <s v="Regular Season"/>
    <s v="Philadelphia Union"/>
    <s v="Home"/>
    <s v="W"/>
    <n v="4"/>
    <n v="1"/>
    <n v="3"/>
    <n v="2.6"/>
    <n v="1.5"/>
    <n v="1.1000000000000001"/>
    <n v="-1.9"/>
    <n v="0"/>
    <x v="1"/>
    <x v="1"/>
    <n v="1"/>
    <x v="0"/>
    <n v="0"/>
    <n v="3150"/>
    <n v="1.4"/>
    <n v="-0.5"/>
  </r>
  <r>
    <s v="17-2018"/>
    <n v="17"/>
    <x v="16"/>
    <s v="MLS"/>
    <x v="0"/>
    <s v="Regular Season"/>
    <s v="Houston Dynamo"/>
    <s v="Away"/>
    <s v="D"/>
    <n v="2"/>
    <n v="2"/>
    <n v="0"/>
    <n v="1.1000000000000001"/>
    <n v="1.3"/>
    <n v="-0.19999999999999996"/>
    <n v="-0.19999999999999996"/>
    <n v="0"/>
    <x v="1"/>
    <x v="1"/>
    <n v="0"/>
    <x v="0"/>
    <n v="0"/>
    <n v="3150"/>
    <n v="0.89999999999999991"/>
    <n v="0.7"/>
  </r>
  <r>
    <s v="18-2018"/>
    <n v="18"/>
    <x v="17"/>
    <s v="MLS"/>
    <x v="0"/>
    <s v="Regular Season"/>
    <s v="Orlando City"/>
    <s v="Home"/>
    <s v="W"/>
    <n v="4"/>
    <n v="1"/>
    <n v="3"/>
    <n v="3.4"/>
    <n v="1.6"/>
    <n v="1.7999999999999998"/>
    <n v="-1.2000000000000002"/>
    <n v="26"/>
    <x v="0"/>
    <x v="1"/>
    <n v="1"/>
    <x v="0"/>
    <n v="0"/>
    <n v="3150"/>
    <n v="0.60000000000000009"/>
    <n v="-0.60000000000000009"/>
  </r>
  <r>
    <s v="19-2018"/>
    <n v="19"/>
    <x v="18"/>
    <s v="MLS"/>
    <x v="0"/>
    <s v="Regular Season"/>
    <s v="Portland Timbers"/>
    <s v="Home"/>
    <s v="D"/>
    <n v="0"/>
    <n v="0"/>
    <n v="0"/>
    <n v="1.2"/>
    <n v="0.8"/>
    <n v="0.39999999999999991"/>
    <n v="0.39999999999999991"/>
    <n v="90"/>
    <x v="0"/>
    <x v="0"/>
    <n v="0"/>
    <x v="0"/>
    <n v="0"/>
    <n v="3150"/>
    <n v="-1.2"/>
    <n v="-0.8"/>
  </r>
  <r>
    <s v="20-2018"/>
    <n v="20"/>
    <x v="19"/>
    <s v="MLS"/>
    <x v="0"/>
    <s v="Regular Season"/>
    <s v="Minnesota Utd"/>
    <s v="Away"/>
    <s v="L"/>
    <n v="1"/>
    <n v="5"/>
    <n v="-4"/>
    <n v="0.6"/>
    <n v="3.9"/>
    <n v="-3.3"/>
    <n v="0.70000000000000018"/>
    <n v="0"/>
    <x v="1"/>
    <x v="1"/>
    <n v="0"/>
    <x v="0"/>
    <n v="0"/>
    <n v="3150"/>
    <n v="0.4"/>
    <n v="1.1000000000000001"/>
  </r>
  <r>
    <s v="21-2018"/>
    <n v="21"/>
    <x v="20"/>
    <s v="MLS"/>
    <x v="0"/>
    <s v="Regular Season"/>
    <s v="LA Galaxy"/>
    <s v="Home"/>
    <s v="D"/>
    <n v="2"/>
    <n v="2"/>
    <n v="0"/>
    <n v="1.5"/>
    <n v="2"/>
    <n v="-0.5"/>
    <n v="-0.5"/>
    <n v="90"/>
    <x v="0"/>
    <x v="0"/>
    <n v="0"/>
    <x v="0"/>
    <n v="0"/>
    <n v="3150"/>
    <n v="0.5"/>
    <n v="0"/>
  </r>
  <r>
    <s v="22-2018"/>
    <n v="22"/>
    <x v="21"/>
    <s v="MLS"/>
    <x v="0"/>
    <s v="Regular Season"/>
    <s v="NY Red Bulls"/>
    <s v="Away"/>
    <s v="L"/>
    <n v="1"/>
    <n v="2"/>
    <n v="-1"/>
    <n v="1.7"/>
    <n v="2.2999999999999998"/>
    <n v="-0.59999999999999987"/>
    <n v="0.40000000000000013"/>
    <n v="90"/>
    <x v="0"/>
    <x v="0"/>
    <n v="0"/>
    <x v="0"/>
    <n v="0"/>
    <n v="3150"/>
    <n v="-0.7"/>
    <n v="-0.29999999999999982"/>
  </r>
  <r>
    <s v="23-2018"/>
    <n v="23"/>
    <x v="22"/>
    <s v="MLS"/>
    <x v="0"/>
    <s v="Regular Season"/>
    <s v="Sporting KC"/>
    <s v="Home"/>
    <s v="L"/>
    <n v="0"/>
    <n v="2"/>
    <n v="-2"/>
    <n v="1.8"/>
    <n v="1.8"/>
    <n v="0"/>
    <n v="2"/>
    <n v="32"/>
    <x v="0"/>
    <x v="2"/>
    <n v="0"/>
    <x v="0"/>
    <n v="0"/>
    <n v="3150"/>
    <n v="-1.8"/>
    <n v="0.19999999999999996"/>
  </r>
  <r>
    <s v="24-2018"/>
    <n v="24"/>
    <x v="23"/>
    <s v="MLS"/>
    <x v="0"/>
    <s v="Regular Season"/>
    <s v="Real Salt Lake"/>
    <s v="Home"/>
    <s v="W"/>
    <n v="2"/>
    <n v="0"/>
    <n v="2"/>
    <n v="1.8"/>
    <n v="0.3"/>
    <n v="1.5"/>
    <n v="-0.5"/>
    <n v="90"/>
    <x v="0"/>
    <x v="0"/>
    <n v="1"/>
    <x v="0"/>
    <n v="0"/>
    <n v="3150"/>
    <n v="0.19999999999999996"/>
    <n v="-0.3"/>
  </r>
  <r>
    <s v="25-2018"/>
    <n v="25"/>
    <x v="24"/>
    <s v="MLS"/>
    <x v="0"/>
    <s v="Regular Season"/>
    <s v="Colorado Rapids"/>
    <s v="Home"/>
    <s v="W"/>
    <n v="2"/>
    <n v="0"/>
    <n v="2"/>
    <n v="1"/>
    <n v="0.9"/>
    <n v="9.9999999999999978E-2"/>
    <n v="-1.9"/>
    <n v="79"/>
    <x v="0"/>
    <x v="0"/>
    <n v="1"/>
    <x v="0"/>
    <n v="0"/>
    <n v="3150"/>
    <n v="1"/>
    <n v="-0.9"/>
  </r>
  <r>
    <s v="26-2018"/>
    <n v="26"/>
    <x v="25"/>
    <s v="MLS"/>
    <x v="0"/>
    <s v="Regular Season"/>
    <s v="LA Galaxy"/>
    <s v="Away"/>
    <s v="D"/>
    <n v="1"/>
    <n v="1"/>
    <n v="0"/>
    <n v="1.5"/>
    <n v="1.3"/>
    <n v="0.19999999999999996"/>
    <n v="0.19999999999999996"/>
    <n v="90"/>
    <x v="0"/>
    <x v="0"/>
    <n v="0"/>
    <x v="0"/>
    <n v="0"/>
    <n v="3150"/>
    <n v="-0.5"/>
    <n v="-0.30000000000000004"/>
  </r>
  <r>
    <s v="27-2018"/>
    <n v="27"/>
    <x v="26"/>
    <s v="MLS"/>
    <x v="0"/>
    <s v="Regular Season"/>
    <s v="Toronto FC"/>
    <s v="Away"/>
    <s v="W"/>
    <n v="4"/>
    <n v="2"/>
    <n v="2"/>
    <n v="1.6"/>
    <n v="3.2"/>
    <n v="-1.6"/>
    <n v="-3.6"/>
    <n v="90"/>
    <x v="0"/>
    <x v="0"/>
    <n v="1"/>
    <x v="0"/>
    <n v="0"/>
    <n v="3150"/>
    <n v="2.4"/>
    <n v="-1.2000000000000002"/>
  </r>
  <r>
    <s v="28-2018"/>
    <n v="28"/>
    <x v="27"/>
    <s v="MLS"/>
    <x v="0"/>
    <s v="Regular Season"/>
    <s v="NE Revolution"/>
    <s v="Home"/>
    <s v="D"/>
    <n v="1"/>
    <n v="1"/>
    <n v="0"/>
    <n v="1.6"/>
    <n v="1.7"/>
    <n v="-9.9999999999999867E-2"/>
    <n v="-9.9999999999999867E-2"/>
    <n v="90"/>
    <x v="0"/>
    <x v="0"/>
    <n v="0"/>
    <x v="0"/>
    <n v="0"/>
    <n v="3150"/>
    <n v="-0.60000000000000009"/>
    <n v="-0.7"/>
  </r>
  <r>
    <s v="29-2018"/>
    <n v="29"/>
    <x v="28"/>
    <s v="MLS"/>
    <x v="0"/>
    <s v="Regular Season"/>
    <s v="SJ Earthquakes"/>
    <s v="Home"/>
    <s v="W"/>
    <n v="2"/>
    <n v="0"/>
    <n v="2"/>
    <n v="2.1"/>
    <n v="0.2"/>
    <n v="1.9000000000000001"/>
    <n v="-9.9999999999999867E-2"/>
    <n v="81"/>
    <x v="0"/>
    <x v="0"/>
    <n v="1"/>
    <x v="0"/>
    <n v="0"/>
    <n v="3150"/>
    <n v="-0.10000000000000009"/>
    <n v="-0.2"/>
  </r>
  <r>
    <s v="30-2018"/>
    <n v="30"/>
    <x v="29"/>
    <s v="MLS"/>
    <x v="0"/>
    <s v="Regular Season"/>
    <s v="Chicago Fire"/>
    <s v="Away"/>
    <s v="L"/>
    <n v="1"/>
    <n v="3"/>
    <n v="-2"/>
    <n v="1.5"/>
    <n v="1.1000000000000001"/>
    <n v="0.39999999999999991"/>
    <n v="2.4"/>
    <n v="90"/>
    <x v="0"/>
    <x v="0"/>
    <n v="0"/>
    <x v="0"/>
    <n v="0"/>
    <n v="3150"/>
    <n v="-0.5"/>
    <n v="1.9"/>
  </r>
  <r>
    <s v="31-2018"/>
    <n v="31"/>
    <x v="30"/>
    <s v="MLS"/>
    <x v="0"/>
    <s v="Regular Season"/>
    <s v="Colorado Rapids"/>
    <s v="Away"/>
    <s v="W"/>
    <n v="3"/>
    <n v="0"/>
    <n v="3"/>
    <n v="2.9"/>
    <n v="0.8"/>
    <n v="2.0999999999999996"/>
    <n v="-0.90000000000000036"/>
    <n v="90"/>
    <x v="0"/>
    <x v="0"/>
    <n v="1"/>
    <x v="0"/>
    <n v="0"/>
    <n v="3150"/>
    <n v="0.10000000000000009"/>
    <n v="-0.8"/>
  </r>
  <r>
    <s v="32-2018"/>
    <n v="32"/>
    <x v="31"/>
    <s v="MLS"/>
    <x v="0"/>
    <s v="Regular Season"/>
    <s v="Houston Dynamo"/>
    <s v="Home"/>
    <s v="W"/>
    <n v="4"/>
    <n v="2"/>
    <n v="2"/>
    <n v="2.8"/>
    <n v="1.2"/>
    <n v="1.5999999999999999"/>
    <n v="-0.40000000000000013"/>
    <n v="90"/>
    <x v="0"/>
    <x v="0"/>
    <n v="1"/>
    <x v="0"/>
    <n v="0"/>
    <n v="3150"/>
    <n v="1.2000000000000002"/>
    <n v="0.8"/>
  </r>
  <r>
    <s v="33-2018"/>
    <n v="33"/>
    <x v="32"/>
    <s v="MLS"/>
    <x v="0"/>
    <s v="Regular Season"/>
    <s v="Vancouver W'caps"/>
    <s v="Home"/>
    <s v="D"/>
    <n v="2"/>
    <n v="2"/>
    <n v="0"/>
    <n v="2.1"/>
    <n v="1.6"/>
    <n v="0.5"/>
    <n v="0.5"/>
    <n v="90"/>
    <x v="0"/>
    <x v="0"/>
    <n v="0"/>
    <x v="0"/>
    <n v="0"/>
    <n v="3150"/>
    <n v="-0.10000000000000009"/>
    <n v="0.39999999999999991"/>
  </r>
  <r>
    <s v="34-2018"/>
    <n v="34"/>
    <x v="33"/>
    <s v="MLS"/>
    <x v="0"/>
    <s v="Regular Season"/>
    <s v="Sporting KC"/>
    <s v="Away"/>
    <s v="L"/>
    <n v="1"/>
    <n v="2"/>
    <n v="-1"/>
    <n v="1.5"/>
    <n v="0.8"/>
    <n v="0.7"/>
    <n v="1.7"/>
    <n v="90"/>
    <x v="0"/>
    <x v="0"/>
    <n v="0"/>
    <x v="0"/>
    <n v="0"/>
    <n v="3150"/>
    <n v="-0.5"/>
    <n v="1.2"/>
  </r>
  <r>
    <s v="35-2018"/>
    <n v="35"/>
    <x v="34"/>
    <s v="MLS"/>
    <x v="0"/>
    <s v="Knockout round"/>
    <s v="Real Salt Lake"/>
    <s v="Home"/>
    <s v="L"/>
    <n v="2"/>
    <n v="3"/>
    <n v="-1"/>
    <n v="2.1"/>
    <n v="0.5"/>
    <n v="1.6"/>
    <n v="2.6"/>
    <n v="90"/>
    <x v="0"/>
    <x v="0"/>
    <n v="0"/>
    <x v="0"/>
    <n v="0"/>
    <n v="3150"/>
    <n v="-0.10000000000000009"/>
    <n v="2.5"/>
  </r>
  <r>
    <s v="1-2019"/>
    <n v="1"/>
    <x v="35"/>
    <s v="MLS"/>
    <x v="1"/>
    <s v="Regular Season"/>
    <s v="Sporting KC"/>
    <s v="Home"/>
    <s v="W"/>
    <n v="2"/>
    <n v="1"/>
    <n v="1"/>
    <n v="0.9"/>
    <n v="0.7"/>
    <n v="0.20000000000000007"/>
    <n v="-0.79999999999999993"/>
    <n v="90"/>
    <x v="0"/>
    <x v="0"/>
    <n v="1"/>
    <x v="1"/>
    <n v="0"/>
    <n v="3240"/>
    <n v="1.1000000000000001"/>
    <n v="0.30000000000000004"/>
  </r>
  <r>
    <s v="2-2019"/>
    <n v="2"/>
    <x v="36"/>
    <s v="MLS"/>
    <x v="1"/>
    <s v="Regular Season"/>
    <s v="Portland Timbers"/>
    <s v="Home"/>
    <s v="W"/>
    <n v="4"/>
    <n v="1"/>
    <n v="3"/>
    <n v="3.4"/>
    <n v="1.2"/>
    <n v="2.2000000000000002"/>
    <n v="-0.79999999999999982"/>
    <n v="90"/>
    <x v="0"/>
    <x v="0"/>
    <n v="1"/>
    <x v="1"/>
    <n v="0"/>
    <n v="3240"/>
    <n v="0.60000000000000009"/>
    <n v="-0.19999999999999996"/>
  </r>
  <r>
    <s v="3-2019"/>
    <n v="3"/>
    <x v="37"/>
    <s v="MLS"/>
    <x v="1"/>
    <s v="Regular Season"/>
    <s v="NYCFC"/>
    <s v="Away"/>
    <s v="D"/>
    <n v="2"/>
    <n v="2"/>
    <n v="0"/>
    <n v="2.4"/>
    <n v="1.4"/>
    <n v="1"/>
    <n v="1"/>
    <n v="90"/>
    <x v="0"/>
    <x v="0"/>
    <n v="0"/>
    <x v="1"/>
    <n v="0"/>
    <n v="3240"/>
    <n v="-0.39999999999999991"/>
    <n v="0.60000000000000009"/>
  </r>
  <r>
    <s v="4-2019"/>
    <n v="4"/>
    <x v="38"/>
    <s v="MLS"/>
    <x v="1"/>
    <s v="Regular Season"/>
    <s v="Real Salt Lake"/>
    <s v="Home"/>
    <s v="W"/>
    <n v="2"/>
    <n v="1"/>
    <n v="1"/>
    <n v="1"/>
    <n v="0.9"/>
    <n v="9.9999999999999978E-2"/>
    <n v="-0.9"/>
    <n v="90"/>
    <x v="0"/>
    <x v="0"/>
    <n v="1"/>
    <x v="1"/>
    <n v="0"/>
    <n v="3240"/>
    <n v="1"/>
    <n v="9.9999999999999978E-2"/>
  </r>
  <r>
    <s v="5-2019"/>
    <n v="5"/>
    <x v="39"/>
    <s v="MLS"/>
    <x v="1"/>
    <s v="Regular Season"/>
    <s v="SJ Earthquakes"/>
    <s v="Away"/>
    <s v="W"/>
    <n v="5"/>
    <n v="0"/>
    <n v="5"/>
    <n v="3.6"/>
    <n v="0.3"/>
    <n v="3.3000000000000003"/>
    <n v="-1.6999999999999997"/>
    <n v="90"/>
    <x v="0"/>
    <x v="0"/>
    <n v="1"/>
    <x v="1"/>
    <n v="0"/>
    <n v="3240"/>
    <n v="1.4"/>
    <n v="-0.3"/>
  </r>
  <r>
    <s v="6-2019"/>
    <n v="6"/>
    <x v="40"/>
    <s v="MLS"/>
    <x v="1"/>
    <s v="Regular Season"/>
    <s v="D.C. United"/>
    <s v="Away"/>
    <s v="W"/>
    <n v="4"/>
    <n v="0"/>
    <n v="4"/>
    <n v="2.2000000000000002"/>
    <n v="0.9"/>
    <n v="1.3000000000000003"/>
    <n v="-2.6999999999999997"/>
    <n v="79"/>
    <x v="0"/>
    <x v="0"/>
    <n v="1"/>
    <x v="1"/>
    <n v="0"/>
    <n v="3240"/>
    <n v="1.7999999999999998"/>
    <n v="-0.9"/>
  </r>
  <r>
    <s v="7-2019"/>
    <n v="7"/>
    <x v="41"/>
    <s v="MLS"/>
    <x v="1"/>
    <s v="Regular Season"/>
    <s v="FC Cincinnati"/>
    <s v="Home"/>
    <s v="W"/>
    <n v="2"/>
    <n v="0"/>
    <n v="2"/>
    <n v="2"/>
    <n v="1.5"/>
    <n v="0.5"/>
    <n v="-1.5"/>
    <n v="90"/>
    <x v="0"/>
    <x v="0"/>
    <n v="1"/>
    <x v="1"/>
    <n v="0"/>
    <n v="3240"/>
    <n v="0"/>
    <n v="-1.5"/>
  </r>
  <r>
    <s v="8-2019"/>
    <n v="8"/>
    <x v="42"/>
    <s v="MLS"/>
    <x v="1"/>
    <s v="Regular Season"/>
    <s v="Vancouver W'caps"/>
    <s v="Away"/>
    <s v="L"/>
    <n v="0"/>
    <n v="1"/>
    <n v="-1"/>
    <n v="0.9"/>
    <n v="0.9"/>
    <n v="0"/>
    <n v="1"/>
    <n v="90"/>
    <x v="0"/>
    <x v="0"/>
    <n v="0"/>
    <x v="1"/>
    <n v="0"/>
    <n v="3240"/>
    <n v="-0.9"/>
    <n v="9.9999999999999978E-2"/>
  </r>
  <r>
    <s v="9-2019"/>
    <n v="9"/>
    <x v="43"/>
    <s v="MLS"/>
    <x v="1"/>
    <s v="Regular Season"/>
    <s v="Seattle Sounders"/>
    <s v="Home"/>
    <s v="W"/>
    <n v="4"/>
    <n v="1"/>
    <n v="3"/>
    <n v="3.2"/>
    <n v="0.5"/>
    <n v="2.7"/>
    <n v="-0.29999999999999982"/>
    <n v="90"/>
    <x v="0"/>
    <x v="0"/>
    <n v="1"/>
    <x v="1"/>
    <n v="0"/>
    <n v="3240"/>
    <n v="0.79999999999999982"/>
    <n v="0.5"/>
  </r>
  <r>
    <s v="10-2019"/>
    <n v="10"/>
    <x v="44"/>
    <s v="MLS"/>
    <x v="1"/>
    <s v="Regular Season"/>
    <s v="Seattle Sounders"/>
    <s v="Away"/>
    <s v="D"/>
    <n v="1"/>
    <n v="1"/>
    <n v="0"/>
    <n v="3.6"/>
    <n v="0.5"/>
    <n v="3.1"/>
    <n v="3.1"/>
    <n v="90"/>
    <x v="0"/>
    <x v="0"/>
    <n v="0"/>
    <x v="1"/>
    <n v="0"/>
    <n v="3240"/>
    <n v="-2.6"/>
    <n v="0.5"/>
  </r>
  <r>
    <s v="11-2019"/>
    <n v="11"/>
    <x v="45"/>
    <s v="MLS"/>
    <x v="1"/>
    <s v="Regular Season"/>
    <s v="Chicago Fire"/>
    <s v="Home"/>
    <s v="D"/>
    <n v="0"/>
    <n v="0"/>
    <n v="0"/>
    <n v="2.5"/>
    <n v="1"/>
    <n v="1.5"/>
    <n v="1.5"/>
    <n v="90"/>
    <x v="0"/>
    <x v="0"/>
    <n v="0"/>
    <x v="1"/>
    <n v="0"/>
    <n v="3240"/>
    <n v="-2.5"/>
    <n v="-1"/>
  </r>
  <r>
    <s v="12-2019"/>
    <n v="12"/>
    <x v="46"/>
    <s v="MLS"/>
    <x v="1"/>
    <s v="Regular Season"/>
    <s v="Columbus Crew"/>
    <s v="Away"/>
    <s v="W"/>
    <n v="3"/>
    <n v="0"/>
    <n v="3"/>
    <n v="2.2000000000000002"/>
    <n v="0.8"/>
    <n v="1.4000000000000001"/>
    <n v="-1.5999999999999999"/>
    <n v="90"/>
    <x v="0"/>
    <x v="0"/>
    <n v="1"/>
    <x v="1"/>
    <n v="0"/>
    <n v="3240"/>
    <n v="0.79999999999999982"/>
    <n v="-0.8"/>
  </r>
  <r>
    <s v="13-2019"/>
    <n v="13"/>
    <x v="47"/>
    <s v="MLS"/>
    <x v="1"/>
    <s v="Regular Season"/>
    <s v="FC Dallas"/>
    <s v="Home"/>
    <s v="W"/>
    <n v="2"/>
    <n v="0"/>
    <n v="2"/>
    <n v="3.5"/>
    <n v="0.4"/>
    <n v="3.1"/>
    <n v="1.1000000000000001"/>
    <n v="90"/>
    <x v="0"/>
    <x v="0"/>
    <n v="1"/>
    <x v="1"/>
    <n v="0"/>
    <n v="3240"/>
    <n v="-1.5"/>
    <n v="-0.4"/>
  </r>
  <r>
    <s v="14-2019"/>
    <n v="14"/>
    <x v="48"/>
    <s v="MLS"/>
    <x v="1"/>
    <s v="Regular Season"/>
    <s v="FC Dallas"/>
    <s v="Away"/>
    <s v="D"/>
    <n v="1"/>
    <n v="1"/>
    <n v="0"/>
    <n v="2.7"/>
    <n v="0.9"/>
    <n v="1.8000000000000003"/>
    <n v="1.8000000000000003"/>
    <n v="90"/>
    <x v="0"/>
    <x v="0"/>
    <n v="0"/>
    <x v="1"/>
    <n v="0"/>
    <n v="3240"/>
    <n v="-1.7000000000000002"/>
    <n v="9.9999999999999978E-2"/>
  </r>
  <r>
    <s v="15-2019"/>
    <n v="15"/>
    <x v="49"/>
    <s v="MLS"/>
    <x v="1"/>
    <s v="Regular Season"/>
    <s v="Montreal Impact"/>
    <s v="Home"/>
    <s v="W"/>
    <n v="4"/>
    <n v="2"/>
    <n v="2"/>
    <n v="3.6"/>
    <n v="1.4"/>
    <n v="2.2000000000000002"/>
    <n v="0.20000000000000018"/>
    <n v="90"/>
    <x v="0"/>
    <x v="0"/>
    <n v="1"/>
    <x v="1"/>
    <n v="0"/>
    <n v="3240"/>
    <n v="0.39999999999999991"/>
    <n v="0.60000000000000009"/>
  </r>
  <r>
    <s v="16-2019"/>
    <n v="16"/>
    <x v="50"/>
    <s v="MLS"/>
    <x v="1"/>
    <s v="Regular Season"/>
    <s v="Portland Timbers"/>
    <s v="Away"/>
    <s v="W"/>
    <n v="3"/>
    <n v="2"/>
    <n v="1"/>
    <n v="2.1"/>
    <n v="2.1"/>
    <n v="0"/>
    <n v="-1"/>
    <n v="90"/>
    <x v="0"/>
    <x v="0"/>
    <n v="1"/>
    <x v="1"/>
    <n v="0"/>
    <n v="3240"/>
    <n v="0.89999999999999991"/>
    <n v="-0.10000000000000009"/>
  </r>
  <r>
    <s v="17-2019"/>
    <n v="17"/>
    <x v="51"/>
    <s v="MLS"/>
    <x v="1"/>
    <s v="Regular Season"/>
    <s v="Colorado Rapids"/>
    <s v="Away"/>
    <s v="L"/>
    <n v="0"/>
    <n v="1"/>
    <n v="-1"/>
    <n v="0.9"/>
    <n v="0.8"/>
    <n v="9.9999999999999978E-2"/>
    <n v="1.1000000000000001"/>
    <n v="90"/>
    <x v="0"/>
    <x v="0"/>
    <n v="0"/>
    <x v="1"/>
    <n v="0"/>
    <n v="3240"/>
    <n v="-0.9"/>
    <n v="0.19999999999999996"/>
  </r>
  <r>
    <s v="18-2019"/>
    <n v="18"/>
    <x v="52"/>
    <s v="MLS"/>
    <x v="1"/>
    <s v="Regular Season"/>
    <s v="Sporting KC"/>
    <s v="Away"/>
    <s v="W"/>
    <n v="5"/>
    <n v="1"/>
    <n v="4"/>
    <n v="2.2999999999999998"/>
    <n v="3.8"/>
    <n v="-1.5"/>
    <n v="-5.5"/>
    <n v="90"/>
    <x v="0"/>
    <x v="0"/>
    <n v="1"/>
    <x v="1"/>
    <n v="0"/>
    <n v="3240"/>
    <n v="2.7"/>
    <n v="-2.8"/>
  </r>
  <r>
    <s v="19-2019"/>
    <n v="19"/>
    <x v="53"/>
    <s v="MLS"/>
    <x v="1"/>
    <s v="Regular Season"/>
    <s v="Vancouver W'caps"/>
    <s v="Home"/>
    <s v="W"/>
    <n v="6"/>
    <n v="1"/>
    <n v="5"/>
    <n v="2.9"/>
    <n v="0.4"/>
    <n v="2.5"/>
    <n v="-2.5"/>
    <n v="90"/>
    <x v="0"/>
    <x v="0"/>
    <n v="1"/>
    <x v="1"/>
    <n v="0"/>
    <n v="3240"/>
    <n v="3.1"/>
    <n v="0.6"/>
  </r>
  <r>
    <s v="20-2019"/>
    <n v="20"/>
    <x v="54"/>
    <s v="MLS"/>
    <x v="1"/>
    <s v="Regular Season"/>
    <s v="Houston Dynamo"/>
    <s v="Away"/>
    <s v="W"/>
    <n v="3"/>
    <n v="1"/>
    <n v="2"/>
    <n v="1.5"/>
    <n v="2.2000000000000002"/>
    <n v="-0.70000000000000018"/>
    <n v="-2.7"/>
    <n v="0"/>
    <x v="1"/>
    <x v="1"/>
    <n v="1"/>
    <x v="1"/>
    <n v="0"/>
    <n v="3240"/>
    <n v="1.5"/>
    <n v="-1.2000000000000002"/>
  </r>
  <r>
    <s v="21-2019"/>
    <n v="21"/>
    <x v="55"/>
    <s v="MLS"/>
    <x v="1"/>
    <s v="Regular Season"/>
    <s v="LA Galaxy"/>
    <s v="Away"/>
    <s v="L"/>
    <n v="2"/>
    <n v="3"/>
    <n v="-1"/>
    <n v="1.9"/>
    <n v="0.9"/>
    <n v="0.99999999999999989"/>
    <n v="2"/>
    <n v="90"/>
    <x v="0"/>
    <x v="0"/>
    <n v="0"/>
    <x v="1"/>
    <n v="0"/>
    <n v="3240"/>
    <n v="0.10000000000000009"/>
    <n v="2.1"/>
  </r>
  <r>
    <s v="22-2019"/>
    <n v="22"/>
    <x v="56"/>
    <s v="MLS"/>
    <x v="1"/>
    <s v="Regular Season"/>
    <s v="Atlanta Utd"/>
    <s v="Home"/>
    <s v="W"/>
    <n v="4"/>
    <n v="3"/>
    <n v="1"/>
    <n v="2.1"/>
    <n v="1.1000000000000001"/>
    <n v="1"/>
    <n v="0"/>
    <n v="90"/>
    <x v="0"/>
    <x v="0"/>
    <n v="1"/>
    <x v="1"/>
    <n v="0"/>
    <n v="3240"/>
    <n v="1.9"/>
    <n v="1.9"/>
  </r>
  <r>
    <s v="23-2019"/>
    <n v="23"/>
    <x v="57"/>
    <s v="MLS"/>
    <x v="1"/>
    <s v="Regular Season"/>
    <s v="NE Revolution"/>
    <s v="Away"/>
    <s v="W"/>
    <n v="2"/>
    <n v="0"/>
    <n v="2"/>
    <n v="3.1"/>
    <n v="0.7"/>
    <n v="2.4000000000000004"/>
    <n v="0.40000000000000036"/>
    <n v="90"/>
    <x v="0"/>
    <x v="0"/>
    <n v="1"/>
    <x v="1"/>
    <n v="0"/>
    <n v="3240"/>
    <n v="-1.1000000000000001"/>
    <n v="-0.7"/>
  </r>
  <r>
    <s v="24-2019"/>
    <n v="24"/>
    <x v="58"/>
    <s v="MLS"/>
    <x v="1"/>
    <s v="Regular Season"/>
    <s v="NY Red Bulls"/>
    <s v="Home"/>
    <s v="W"/>
    <n v="4"/>
    <n v="2"/>
    <n v="2"/>
    <n v="2.5"/>
    <n v="1.8"/>
    <n v="0.7"/>
    <n v="-1.3"/>
    <n v="90"/>
    <x v="0"/>
    <x v="0"/>
    <n v="1"/>
    <x v="1"/>
    <n v="0"/>
    <n v="3240"/>
    <n v="1.5"/>
    <n v="0.19999999999999996"/>
  </r>
  <r>
    <s v="25-2019"/>
    <n v="25"/>
    <x v="59"/>
    <s v="MLS"/>
    <x v="1"/>
    <s v="Regular Season"/>
    <s v="Real Salt Lake"/>
    <s v="Away"/>
    <s v="W"/>
    <n v="2"/>
    <n v="0"/>
    <n v="2"/>
    <n v="3"/>
    <n v="0.7"/>
    <n v="2.2999999999999998"/>
    <n v="0.29999999999999982"/>
    <n v="90"/>
    <x v="0"/>
    <x v="0"/>
    <n v="1"/>
    <x v="1"/>
    <n v="0"/>
    <n v="3240"/>
    <n v="-1"/>
    <n v="-0.7"/>
  </r>
  <r>
    <s v="26-2019"/>
    <n v="26"/>
    <x v="60"/>
    <s v="MLS"/>
    <x v="1"/>
    <s v="Regular Season"/>
    <s v="SJ Earthquakes"/>
    <s v="Home"/>
    <s v="W"/>
    <n v="4"/>
    <n v="0"/>
    <n v="4"/>
    <n v="3.8"/>
    <n v="1.8"/>
    <n v="1.9999999999999998"/>
    <n v="-2"/>
    <n v="90"/>
    <x v="0"/>
    <x v="0"/>
    <n v="1"/>
    <x v="1"/>
    <n v="0"/>
    <n v="3240"/>
    <n v="0.20000000000000018"/>
    <n v="-1.8"/>
  </r>
  <r>
    <s v="27-2019"/>
    <n v="27"/>
    <x v="61"/>
    <s v="MLS"/>
    <x v="1"/>
    <s v="Regular Season"/>
    <s v="LA Galaxy"/>
    <s v="Home"/>
    <s v="D"/>
    <n v="3"/>
    <n v="3"/>
    <n v="0"/>
    <n v="3.9"/>
    <n v="1.4"/>
    <n v="2.5"/>
    <n v="2.5"/>
    <n v="61"/>
    <x v="0"/>
    <x v="2"/>
    <n v="0"/>
    <x v="1"/>
    <n v="0"/>
    <n v="3240"/>
    <n v="-0.89999999999999991"/>
    <n v="1.6"/>
  </r>
  <r>
    <s v="28-2019"/>
    <n v="28"/>
    <x v="62"/>
    <s v="MLS"/>
    <x v="1"/>
    <s v="Regular Season"/>
    <s v="Minnesota Utd"/>
    <s v="Home"/>
    <s v="L"/>
    <n v="0"/>
    <n v="2"/>
    <n v="-2"/>
    <n v="2.1"/>
    <n v="0.8"/>
    <n v="1.3"/>
    <n v="3.3"/>
    <n v="0"/>
    <x v="1"/>
    <x v="1"/>
    <n v="0"/>
    <x v="1"/>
    <n v="0"/>
    <n v="3240"/>
    <n v="-2.1"/>
    <n v="1.2"/>
  </r>
  <r>
    <s v="29-2019"/>
    <n v="29"/>
    <x v="63"/>
    <s v="MLS"/>
    <x v="1"/>
    <s v="Regular Season"/>
    <s v="Orlando City"/>
    <s v="Away"/>
    <s v="D"/>
    <n v="2"/>
    <n v="2"/>
    <n v="0"/>
    <n v="1.5"/>
    <n v="1.5"/>
    <n v="0"/>
    <n v="0"/>
    <n v="0"/>
    <x v="1"/>
    <x v="1"/>
    <n v="0"/>
    <x v="1"/>
    <n v="0"/>
    <n v="3240"/>
    <n v="0.5"/>
    <n v="0.5"/>
  </r>
  <r>
    <s v="30-2019"/>
    <n v="30"/>
    <x v="64"/>
    <s v="MLS"/>
    <x v="1"/>
    <s v="Regular Season"/>
    <s v="Philadelphia Union"/>
    <s v="Away"/>
    <s v="D"/>
    <n v="1"/>
    <n v="1"/>
    <n v="0"/>
    <n v="1.9"/>
    <n v="1.2"/>
    <n v="0.7"/>
    <n v="0.7"/>
    <n v="66"/>
    <x v="0"/>
    <x v="2"/>
    <n v="0"/>
    <x v="1"/>
    <n v="0"/>
    <n v="3240"/>
    <n v="-0.89999999999999991"/>
    <n v="-0.19999999999999996"/>
  </r>
  <r>
    <s v="31-2019"/>
    <n v="31"/>
    <x v="65"/>
    <s v="MLS"/>
    <x v="1"/>
    <s v="Regular Season"/>
    <s v="Toronto FC"/>
    <s v="Home"/>
    <s v="D"/>
    <n v="1"/>
    <n v="1"/>
    <n v="0"/>
    <n v="1.8"/>
    <n v="0.6"/>
    <n v="1.2000000000000002"/>
    <n v="1.2000000000000002"/>
    <n v="90"/>
    <x v="0"/>
    <x v="0"/>
    <n v="0"/>
    <x v="1"/>
    <n v="0"/>
    <n v="3240"/>
    <n v="-0.8"/>
    <n v="0.4"/>
  </r>
  <r>
    <s v="32-2019"/>
    <n v="32"/>
    <x v="66"/>
    <s v="MLS"/>
    <x v="1"/>
    <s v="Regular Season"/>
    <s v="Houston Dynamo"/>
    <s v="Home"/>
    <s v="W"/>
    <n v="3"/>
    <n v="1"/>
    <n v="2"/>
    <n v="1.9"/>
    <n v="0.7"/>
    <n v="1.2"/>
    <n v="-0.8"/>
    <n v="90"/>
    <x v="0"/>
    <x v="0"/>
    <n v="1"/>
    <x v="1"/>
    <n v="0"/>
    <n v="3240"/>
    <n v="1.1000000000000001"/>
    <n v="0.30000000000000004"/>
  </r>
  <r>
    <s v="33-2019"/>
    <n v="33"/>
    <x v="67"/>
    <s v="MLS"/>
    <x v="1"/>
    <s v="Regular Season"/>
    <s v="Minnesota Utd"/>
    <s v="Away"/>
    <s v="D"/>
    <n v="1"/>
    <n v="1"/>
    <n v="0"/>
    <n v="1.7"/>
    <n v="2.1"/>
    <n v="-0.40000000000000013"/>
    <n v="-0.40000000000000013"/>
    <n v="90"/>
    <x v="0"/>
    <x v="0"/>
    <n v="0"/>
    <x v="1"/>
    <n v="0"/>
    <n v="3240"/>
    <n v="-0.7"/>
    <n v="-1.1000000000000001"/>
  </r>
  <r>
    <s v="34-2019"/>
    <n v="34"/>
    <x v="68"/>
    <s v="MLS"/>
    <x v="1"/>
    <s v="Regular Season"/>
    <s v="Colorado Rapids"/>
    <s v="Home"/>
    <s v="W"/>
    <n v="3"/>
    <n v="1"/>
    <n v="2"/>
    <n v="1.3"/>
    <n v="1.5"/>
    <n v="-0.19999999999999996"/>
    <n v="-2.2000000000000002"/>
    <n v="90"/>
    <x v="0"/>
    <x v="0"/>
    <n v="1"/>
    <x v="1"/>
    <n v="0"/>
    <n v="3240"/>
    <n v="1.7"/>
    <n v="-0.5"/>
  </r>
  <r>
    <s v="35-2019"/>
    <n v="35"/>
    <x v="69"/>
    <s v="MLS"/>
    <x v="1"/>
    <s v="Conference Semifinals"/>
    <s v="LA Galaxy"/>
    <s v="Home"/>
    <s v="W"/>
    <n v="5"/>
    <n v="3"/>
    <n v="2"/>
    <n v="3.1"/>
    <n v="1.7"/>
    <n v="1.4000000000000001"/>
    <n v="-0.59999999999999987"/>
    <n v="90"/>
    <x v="0"/>
    <x v="0"/>
    <n v="1"/>
    <x v="1"/>
    <n v="0"/>
    <n v="3240"/>
    <n v="1.9"/>
    <n v="1.3"/>
  </r>
  <r>
    <s v="36-2019"/>
    <n v="36"/>
    <x v="70"/>
    <s v="MLS"/>
    <x v="1"/>
    <s v="Conference Finals"/>
    <s v="Seattle Sounders"/>
    <s v="Home"/>
    <s v="L"/>
    <n v="1"/>
    <n v="3"/>
    <n v="-2"/>
    <n v="0.7"/>
    <n v="1.2"/>
    <n v="-0.5"/>
    <n v="1.5"/>
    <n v="90"/>
    <x v="0"/>
    <x v="0"/>
    <n v="0"/>
    <x v="1"/>
    <n v="0"/>
    <n v="3240"/>
    <n v="0.30000000000000004"/>
    <n v="1.8"/>
  </r>
  <r>
    <s v="1-2020"/>
    <n v="1"/>
    <x v="71"/>
    <s v="MLS"/>
    <x v="2"/>
    <s v="Regular Season"/>
    <s v="Inter Miami"/>
    <s v="Home"/>
    <s v="W"/>
    <n v="1"/>
    <n v="0"/>
    <n v="1"/>
    <n v="2.5"/>
    <n v="1.7"/>
    <n v="0.8"/>
    <n v="-0.19999999999999996"/>
    <n v="90"/>
    <x v="0"/>
    <x v="0"/>
    <n v="1"/>
    <x v="2"/>
    <n v="0"/>
    <n v="2070"/>
    <n v="-1.5"/>
    <n v="-1.7"/>
  </r>
  <r>
    <s v="2-2020"/>
    <n v="2"/>
    <x v="72"/>
    <s v="MLS"/>
    <x v="2"/>
    <s v="Regular Season"/>
    <s v="Philadelphia Union"/>
    <s v="Home"/>
    <s v="D"/>
    <n v="3"/>
    <n v="3"/>
    <n v="0"/>
    <n v="2.8"/>
    <n v="1"/>
    <n v="1.7999999999999998"/>
    <n v="1.7999999999999998"/>
    <n v="90"/>
    <x v="0"/>
    <x v="0"/>
    <n v="0"/>
    <x v="2"/>
    <n v="0"/>
    <n v="2070"/>
    <n v="0.20000000000000018"/>
    <n v="2"/>
  </r>
  <r>
    <s v="3-2020"/>
    <n v="3"/>
    <x v="73"/>
    <s v="MLS"/>
    <x v="2"/>
    <s v="MLS is Back Tournament — Group Stage"/>
    <s v="Houston Dynamo"/>
    <s v="Home"/>
    <s v="D"/>
    <n v="3"/>
    <n v="3"/>
    <n v="0"/>
    <n v="2.5"/>
    <n v="1.5"/>
    <n v="1"/>
    <n v="1"/>
    <n v="0"/>
    <x v="1"/>
    <x v="1"/>
    <n v="0"/>
    <x v="2"/>
    <n v="0"/>
    <n v="2070"/>
    <n v="0.5"/>
    <n v="1.5"/>
  </r>
  <r>
    <s v="4-2020"/>
    <n v="4"/>
    <x v="74"/>
    <s v="MLS"/>
    <x v="2"/>
    <s v="MLS is Back Tournament — Group Stage"/>
    <s v="LA Galaxy"/>
    <s v="Home"/>
    <s v="W"/>
    <n v="6"/>
    <n v="2"/>
    <n v="4"/>
    <n v="3.3"/>
    <n v="1"/>
    <n v="2.2999999999999998"/>
    <n v="-1.7000000000000002"/>
    <n v="0"/>
    <x v="1"/>
    <x v="1"/>
    <n v="1"/>
    <x v="2"/>
    <n v="0"/>
    <n v="2070"/>
    <n v="2.7"/>
    <n v="1"/>
  </r>
  <r>
    <s v="5-2020"/>
    <n v="5"/>
    <x v="75"/>
    <s v="MLS"/>
    <x v="2"/>
    <s v="MLS is Back Tournament — Group Stage"/>
    <s v="Portland Timbers"/>
    <s v="Home"/>
    <s v="D"/>
    <n v="2"/>
    <n v="2"/>
    <n v="0"/>
    <n v="1"/>
    <n v="1.9"/>
    <n v="-0.89999999999999991"/>
    <n v="-0.89999999999999991"/>
    <n v="0"/>
    <x v="1"/>
    <x v="1"/>
    <n v="0"/>
    <x v="2"/>
    <n v="0"/>
    <n v="2070"/>
    <n v="1"/>
    <n v="0.10000000000000009"/>
  </r>
  <r>
    <s v="6-2020"/>
    <n v="6"/>
    <x v="76"/>
    <s v="MLS"/>
    <x v="2"/>
    <s v="Regular Season"/>
    <s v="LA Galaxy"/>
    <s v="Home"/>
    <s v="L"/>
    <n v="0"/>
    <n v="2"/>
    <n v="-2"/>
    <n v="0.4"/>
    <n v="1.6"/>
    <n v="-1.2000000000000002"/>
    <n v="0.79999999999999982"/>
    <n v="58"/>
    <x v="0"/>
    <x v="2"/>
    <n v="0"/>
    <x v="2"/>
    <n v="0"/>
    <n v="2070"/>
    <n v="-0.4"/>
    <n v="0.39999999999999991"/>
  </r>
  <r>
    <s v="7-2020"/>
    <n v="7"/>
    <x v="77"/>
    <s v="MLS"/>
    <x v="2"/>
    <s v="Regular Season"/>
    <s v="Seattle Sounders"/>
    <s v="Away"/>
    <s v="L"/>
    <n v="1"/>
    <n v="3"/>
    <n v="-2"/>
    <n v="1"/>
    <n v="1.1000000000000001"/>
    <n v="-0.10000000000000009"/>
    <n v="1.9"/>
    <n v="0"/>
    <x v="1"/>
    <x v="1"/>
    <n v="0"/>
    <x v="2"/>
    <n v="0"/>
    <n v="2070"/>
    <n v="0"/>
    <n v="1.9"/>
  </r>
  <r>
    <s v="8-2020"/>
    <n v="8"/>
    <x v="78"/>
    <s v="MLS"/>
    <x v="2"/>
    <s v="Regular Season"/>
    <s v="SJ Earthquakes"/>
    <s v="Home"/>
    <s v="W"/>
    <n v="5"/>
    <n v="1"/>
    <n v="4"/>
    <n v="2.9"/>
    <n v="0.5"/>
    <n v="2.4"/>
    <n v="-1.6"/>
    <n v="0"/>
    <x v="1"/>
    <x v="1"/>
    <n v="1"/>
    <x v="2"/>
    <n v="0"/>
    <n v="2070"/>
    <n v="2.1"/>
    <n v="0.5"/>
  </r>
  <r>
    <s v="9-2020"/>
    <n v="9"/>
    <x v="79"/>
    <s v="MLS"/>
    <x v="2"/>
    <s v="Regular Season"/>
    <s v="LA Galaxy"/>
    <s v="Away"/>
    <s v="L"/>
    <n v="0"/>
    <n v="3"/>
    <n v="-3"/>
    <n v="1.8"/>
    <n v="1.5"/>
    <n v="0.30000000000000004"/>
    <n v="3.3"/>
    <n v="0"/>
    <x v="1"/>
    <x v="1"/>
    <n v="0"/>
    <x v="2"/>
    <n v="0"/>
    <n v="2070"/>
    <n v="-1.8"/>
    <n v="1.5"/>
  </r>
  <r>
    <s v="10-2020"/>
    <n v="10"/>
    <x v="80"/>
    <s v="MLS"/>
    <x v="2"/>
    <s v="Regular Season"/>
    <s v="Real Salt Lake"/>
    <s v="Away"/>
    <s v="L"/>
    <n v="0"/>
    <n v="3"/>
    <n v="-3"/>
    <n v="1.5"/>
    <n v="2.2000000000000002"/>
    <n v="-0.70000000000000018"/>
    <n v="2.2999999999999998"/>
    <n v="0"/>
    <x v="1"/>
    <x v="1"/>
    <n v="0"/>
    <x v="2"/>
    <n v="0"/>
    <n v="2070"/>
    <n v="-1.5"/>
    <n v="0.79999999999999982"/>
  </r>
  <r>
    <s v="11-2020"/>
    <n v="11"/>
    <x v="81"/>
    <s v="MLS"/>
    <x v="2"/>
    <s v="Regular Season"/>
    <s v="Portland Timbers"/>
    <s v="Home"/>
    <s v="W"/>
    <n v="4"/>
    <n v="2"/>
    <n v="2"/>
    <n v="2.8"/>
    <n v="1.2"/>
    <n v="1.5999999999999999"/>
    <n v="-0.40000000000000013"/>
    <n v="0"/>
    <x v="1"/>
    <x v="1"/>
    <n v="1"/>
    <x v="2"/>
    <n v="0"/>
    <n v="2070"/>
    <n v="1.2000000000000002"/>
    <n v="0.8"/>
  </r>
  <r>
    <s v="12-2020"/>
    <n v="12"/>
    <x v="82"/>
    <s v="MLS"/>
    <x v="2"/>
    <s v="Regular Season"/>
    <s v="Seattle Sounders"/>
    <s v="Away"/>
    <s v="L"/>
    <n v="0"/>
    <n v="3"/>
    <n v="-3"/>
    <n v="0.6"/>
    <n v="2.5"/>
    <n v="-1.9"/>
    <n v="1.1000000000000001"/>
    <n v="0"/>
    <x v="1"/>
    <x v="1"/>
    <n v="0"/>
    <x v="2"/>
    <n v="0"/>
    <n v="2070"/>
    <n v="-0.6"/>
    <n v="0.5"/>
  </r>
  <r>
    <s v="13-2020"/>
    <n v="13"/>
    <x v="83"/>
    <s v="MLS"/>
    <x v="2"/>
    <s v="Regular Season"/>
    <s v="Vancouver W'caps"/>
    <s v="Home"/>
    <s v="W"/>
    <n v="6"/>
    <n v="0"/>
    <n v="6"/>
    <n v="2.5"/>
    <n v="0.4"/>
    <n v="2.1"/>
    <n v="-3.9"/>
    <n v="0"/>
    <x v="1"/>
    <x v="1"/>
    <n v="1"/>
    <x v="2"/>
    <n v="0"/>
    <n v="2070"/>
    <n v="3.5"/>
    <n v="-0.4"/>
  </r>
  <r>
    <s v="14-2020"/>
    <n v="14"/>
    <x v="84"/>
    <s v="MLS"/>
    <x v="2"/>
    <s v="Regular Season"/>
    <s v="SJ Earthquakes"/>
    <s v="Home"/>
    <s v="L"/>
    <n v="1"/>
    <n v="2"/>
    <n v="-1"/>
    <n v="1.2"/>
    <n v="1.9"/>
    <n v="-0.7"/>
    <n v="0.30000000000000004"/>
    <n v="0"/>
    <x v="1"/>
    <x v="1"/>
    <n v="0"/>
    <x v="2"/>
    <n v="0"/>
    <n v="2070"/>
    <n v="-0.19999999999999996"/>
    <n v="0.10000000000000009"/>
  </r>
  <r>
    <s v="15-2020"/>
    <n v="15"/>
    <x v="85"/>
    <s v="MLS"/>
    <x v="2"/>
    <s v="Regular Season"/>
    <s v="Real Salt Lake"/>
    <s v="Away"/>
    <s v="W"/>
    <n v="3"/>
    <n v="1"/>
    <n v="2"/>
    <n v="2.4"/>
    <n v="1.5"/>
    <n v="0.89999999999999991"/>
    <n v="-1.1000000000000001"/>
    <n v="0"/>
    <x v="1"/>
    <x v="1"/>
    <n v="1"/>
    <x v="2"/>
    <n v="0"/>
    <n v="2070"/>
    <n v="0.60000000000000009"/>
    <n v="-0.5"/>
  </r>
  <r>
    <s v="16-2020"/>
    <n v="16"/>
    <x v="86"/>
    <s v="MLS"/>
    <x v="2"/>
    <s v="Regular Season"/>
    <s v="Seattle Sounders"/>
    <s v="Home"/>
    <s v="W"/>
    <n v="3"/>
    <n v="1"/>
    <n v="2"/>
    <n v="0.9"/>
    <n v="2.1"/>
    <n v="-1.2000000000000002"/>
    <n v="-3.2"/>
    <n v="0"/>
    <x v="1"/>
    <x v="1"/>
    <n v="1"/>
    <x v="2"/>
    <n v="0"/>
    <n v="2070"/>
    <n v="2.1"/>
    <n v="-1.1000000000000001"/>
  </r>
  <r>
    <s v="17-2020"/>
    <n v="17"/>
    <x v="87"/>
    <s v="MLS"/>
    <x v="2"/>
    <s v="Regular Season"/>
    <s v="Vancouver W'caps"/>
    <s v="Away"/>
    <s v="L"/>
    <n v="1"/>
    <n v="2"/>
    <n v="-1"/>
    <n v="1.4"/>
    <n v="1.8"/>
    <n v="-0.40000000000000013"/>
    <n v="0.59999999999999987"/>
    <n v="0"/>
    <x v="1"/>
    <x v="1"/>
    <n v="0"/>
    <x v="2"/>
    <n v="0"/>
    <n v="2070"/>
    <n v="-0.39999999999999991"/>
    <n v="0.19999999999999996"/>
  </r>
  <r>
    <s v="18-2020"/>
    <n v="18"/>
    <x v="88"/>
    <s v="MLS"/>
    <x v="2"/>
    <s v="Regular Season"/>
    <s v="Portland Timbers"/>
    <s v="Away"/>
    <s v="D"/>
    <n v="1"/>
    <n v="1"/>
    <n v="0"/>
    <n v="1.6"/>
    <n v="1.5"/>
    <n v="0.10000000000000009"/>
    <n v="0.10000000000000009"/>
    <n v="0"/>
    <x v="1"/>
    <x v="1"/>
    <n v="0"/>
    <x v="2"/>
    <n v="0"/>
    <n v="2070"/>
    <n v="-0.60000000000000009"/>
    <n v="-0.5"/>
  </r>
  <r>
    <s v="19-2020"/>
    <n v="19"/>
    <x v="89"/>
    <s v="MLS"/>
    <x v="2"/>
    <s v="Regular Season"/>
    <s v="LA Galaxy"/>
    <s v="Home"/>
    <s v="W"/>
    <n v="2"/>
    <n v="0"/>
    <n v="2"/>
    <n v="3.1"/>
    <n v="0.2"/>
    <n v="2.9"/>
    <n v="0.89999999999999991"/>
    <n v="20"/>
    <x v="0"/>
    <x v="1"/>
    <n v="1"/>
    <x v="2"/>
    <n v="0"/>
    <n v="2070"/>
    <n v="-1.1000000000000001"/>
    <n v="-0.2"/>
  </r>
  <r>
    <s v="20-2020"/>
    <n v="20"/>
    <x v="90"/>
    <s v="MLS"/>
    <x v="2"/>
    <s v="Regular Season"/>
    <s v="Houston Dynamo"/>
    <s v="Home"/>
    <s v="W"/>
    <n v="2"/>
    <n v="1"/>
    <n v="1"/>
    <n v="3.1"/>
    <n v="2"/>
    <n v="1.1000000000000001"/>
    <n v="0.10000000000000009"/>
    <n v="30"/>
    <x v="0"/>
    <x v="1"/>
    <n v="1"/>
    <x v="2"/>
    <n v="0"/>
    <n v="2070"/>
    <n v="-1.1000000000000001"/>
    <n v="-1"/>
  </r>
  <r>
    <s v="21-2020"/>
    <n v="21"/>
    <x v="91"/>
    <s v="MLS"/>
    <x v="2"/>
    <s v="Regular Season"/>
    <s v="SJ Earthquakes"/>
    <s v="Away"/>
    <s v="L"/>
    <n v="2"/>
    <n v="3"/>
    <n v="-1"/>
    <n v="2.4"/>
    <n v="1.1000000000000001"/>
    <n v="1.2999999999999998"/>
    <n v="2.2999999999999998"/>
    <n v="45"/>
    <x v="0"/>
    <x v="2"/>
    <n v="0"/>
    <x v="2"/>
    <n v="0"/>
    <n v="2070"/>
    <n v="-0.39999999999999991"/>
    <n v="1.9"/>
  </r>
  <r>
    <s v="22-2020"/>
    <n v="22"/>
    <x v="92"/>
    <s v="MLS"/>
    <x v="2"/>
    <s v="Regular Season"/>
    <s v="Portland Timbers"/>
    <s v="Home"/>
    <s v="D"/>
    <n v="1"/>
    <n v="1"/>
    <n v="0"/>
    <n v="1.4"/>
    <n v="1.4"/>
    <n v="0"/>
    <n v="0"/>
    <n v="90"/>
    <x v="0"/>
    <x v="0"/>
    <n v="0"/>
    <x v="2"/>
    <n v="0"/>
    <n v="2070"/>
    <n v="-0.39999999999999991"/>
    <n v="-0.39999999999999991"/>
  </r>
  <r>
    <s v="23-2020"/>
    <n v="23"/>
    <x v="93"/>
    <s v="MLS"/>
    <x v="2"/>
    <s v="First Round"/>
    <s v="Seattle Sounders"/>
    <s v="Away"/>
    <s v="L"/>
    <n v="1"/>
    <n v="3"/>
    <n v="-2"/>
    <n v="2.5"/>
    <n v="2"/>
    <n v="0.5"/>
    <n v="2.5"/>
    <n v="90"/>
    <x v="0"/>
    <x v="0"/>
    <n v="0"/>
    <x v="2"/>
    <n v="0"/>
    <n v="2070"/>
    <n v="-1.5"/>
    <n v="1"/>
  </r>
  <r>
    <s v="1-2021"/>
    <n v="1"/>
    <x v="94"/>
    <s v="MLS"/>
    <x v="3"/>
    <s v="Regular Season"/>
    <s v="Austin"/>
    <s v="Home"/>
    <s v="W"/>
    <n v="2"/>
    <n v="0"/>
    <n v="2"/>
    <n v="3.2"/>
    <n v="0.8"/>
    <n v="2.4000000000000004"/>
    <n v="0.40000000000000036"/>
    <n v="22"/>
    <x v="0"/>
    <x v="1"/>
    <n v="1"/>
    <x v="3"/>
    <n v="0"/>
    <n v="3060"/>
    <n v="-1.2000000000000002"/>
    <n v="-0.8"/>
  </r>
  <r>
    <s v="2-2021"/>
    <n v="2"/>
    <x v="95"/>
    <s v="MLS"/>
    <x v="3"/>
    <s v="Regular Season"/>
    <s v="Seattle Sounders"/>
    <s v="Home"/>
    <s v="D"/>
    <n v="1"/>
    <n v="1"/>
    <n v="0"/>
    <n v="0.6"/>
    <n v="0.8"/>
    <n v="-0.20000000000000007"/>
    <n v="-0.20000000000000007"/>
    <n v="0"/>
    <x v="1"/>
    <x v="1"/>
    <n v="0"/>
    <x v="3"/>
    <n v="0"/>
    <n v="3060"/>
    <n v="0.4"/>
    <n v="0.19999999999999996"/>
  </r>
  <r>
    <s v="3-2021"/>
    <n v="3"/>
    <x v="96"/>
    <s v="MLS"/>
    <x v="3"/>
    <s v="Regular Season"/>
    <s v="Houston Dynamo"/>
    <s v="Away"/>
    <s v="D"/>
    <n v="1"/>
    <n v="1"/>
    <n v="0"/>
    <n v="1.3"/>
    <n v="1.4"/>
    <n v="-9.9999999999999867E-2"/>
    <n v="-9.9999999999999867E-2"/>
    <n v="0"/>
    <x v="1"/>
    <x v="1"/>
    <n v="0"/>
    <x v="3"/>
    <n v="0"/>
    <n v="3060"/>
    <n v="-0.30000000000000004"/>
    <n v="-0.39999999999999991"/>
  </r>
  <r>
    <s v="4-2021"/>
    <n v="4"/>
    <x v="97"/>
    <s v="MLS"/>
    <x v="3"/>
    <s v="Regular Season"/>
    <s v="LA Galaxy"/>
    <s v="Away"/>
    <s v="L"/>
    <n v="1"/>
    <n v="2"/>
    <n v="-1"/>
    <n v="1.2"/>
    <n v="1"/>
    <n v="0.19999999999999996"/>
    <n v="1.2"/>
    <n v="0"/>
    <x v="1"/>
    <x v="1"/>
    <n v="0"/>
    <x v="3"/>
    <n v="0"/>
    <n v="3060"/>
    <n v="-0.19999999999999996"/>
    <n v="1"/>
  </r>
  <r>
    <s v="5-2021"/>
    <n v="5"/>
    <x v="98"/>
    <s v="MLS"/>
    <x v="3"/>
    <s v="Regular Season"/>
    <s v="Seattle Sounders"/>
    <s v="Away"/>
    <s v="L"/>
    <n v="0"/>
    <n v="2"/>
    <n v="-2"/>
    <n v="0.6"/>
    <n v="1.3"/>
    <n v="-0.70000000000000007"/>
    <n v="1.2999999999999998"/>
    <n v="20"/>
    <x v="0"/>
    <x v="1"/>
    <n v="0"/>
    <x v="3"/>
    <n v="0"/>
    <n v="3060"/>
    <n v="-0.6"/>
    <n v="0.7"/>
  </r>
  <r>
    <s v="6-2021"/>
    <n v="6"/>
    <x v="99"/>
    <s v="MLS"/>
    <x v="3"/>
    <s v="Regular Season"/>
    <s v="Colorado Rapids"/>
    <s v="Home"/>
    <s v="W"/>
    <n v="2"/>
    <n v="1"/>
    <n v="1"/>
    <n v="1.5"/>
    <n v="1.1000000000000001"/>
    <n v="0.39999999999999991"/>
    <n v="-0.60000000000000009"/>
    <n v="59"/>
    <x v="0"/>
    <x v="2"/>
    <n v="1"/>
    <x v="3"/>
    <n v="0"/>
    <n v="3060"/>
    <n v="0.5"/>
    <n v="-0.10000000000000009"/>
  </r>
  <r>
    <s v="7-2021"/>
    <n v="7"/>
    <x v="100"/>
    <s v="MLS"/>
    <x v="3"/>
    <s v="Regular Season"/>
    <s v="NYCFC"/>
    <s v="Home"/>
    <s v="L"/>
    <n v="1"/>
    <n v="2"/>
    <n v="-1"/>
    <n v="2.2999999999999998"/>
    <n v="1"/>
    <n v="1.2999999999999998"/>
    <n v="2.2999999999999998"/>
    <n v="90"/>
    <x v="0"/>
    <x v="0"/>
    <n v="0"/>
    <x v="3"/>
    <n v="0"/>
    <n v="3060"/>
    <n v="-1.2999999999999998"/>
    <n v="1"/>
  </r>
  <r>
    <s v="8-2021"/>
    <n v="8"/>
    <x v="101"/>
    <s v="MLS"/>
    <x v="3"/>
    <s v="Regular Season"/>
    <s v="Houston Dynamo"/>
    <s v="Home"/>
    <s v="D"/>
    <n v="1"/>
    <n v="1"/>
    <n v="0"/>
    <n v="1.9"/>
    <n v="0.5"/>
    <n v="1.4"/>
    <n v="1.4"/>
    <n v="64"/>
    <x v="0"/>
    <x v="2"/>
    <n v="0"/>
    <x v="3"/>
    <n v="0"/>
    <n v="3060"/>
    <n v="-0.89999999999999991"/>
    <n v="0.5"/>
  </r>
  <r>
    <s v="9-2021"/>
    <n v="9"/>
    <x v="102"/>
    <s v="MLS"/>
    <x v="3"/>
    <s v="Regular Season"/>
    <s v="FC Dallas"/>
    <s v="Home"/>
    <s v="W"/>
    <n v="2"/>
    <n v="0"/>
    <n v="2"/>
    <n v="3.1"/>
    <n v="0.8"/>
    <n v="2.2999999999999998"/>
    <n v="0.29999999999999982"/>
    <n v="76"/>
    <x v="0"/>
    <x v="0"/>
    <n v="1"/>
    <x v="3"/>
    <n v="0"/>
    <n v="3060"/>
    <n v="-1.1000000000000001"/>
    <n v="-0.8"/>
  </r>
  <r>
    <s v="10-2021"/>
    <n v="10"/>
    <x v="103"/>
    <s v="MLS"/>
    <x v="3"/>
    <s v="Regular Season"/>
    <s v="Sporting KC"/>
    <s v="Away"/>
    <s v="L"/>
    <n v="1"/>
    <n v="2"/>
    <n v="-1"/>
    <n v="0.8"/>
    <n v="1.4"/>
    <n v="-0.59999999999999987"/>
    <n v="0.40000000000000013"/>
    <n v="33"/>
    <x v="0"/>
    <x v="2"/>
    <n v="0"/>
    <x v="3"/>
    <n v="0"/>
    <n v="3060"/>
    <n v="0.19999999999999996"/>
    <n v="0.60000000000000009"/>
  </r>
  <r>
    <s v="11-2021"/>
    <n v="11"/>
    <x v="104"/>
    <s v="MLS"/>
    <x v="3"/>
    <s v="Regular Season"/>
    <s v="Real Salt Lake"/>
    <s v="Away"/>
    <s v="W"/>
    <n v="1"/>
    <n v="0"/>
    <n v="1"/>
    <n v="0.6"/>
    <n v="1.3"/>
    <n v="-0.70000000000000007"/>
    <n v="-1.7000000000000002"/>
    <n v="90"/>
    <x v="0"/>
    <x v="0"/>
    <n v="1"/>
    <x v="3"/>
    <n v="0"/>
    <n v="3060"/>
    <n v="0.4"/>
    <n v="-1.3"/>
  </r>
  <r>
    <s v="12-2021"/>
    <n v="12"/>
    <x v="105"/>
    <s v="MLS"/>
    <x v="3"/>
    <s v="Regular Season"/>
    <s v="Austin"/>
    <s v="Away"/>
    <s v="W"/>
    <n v="2"/>
    <n v="0"/>
    <n v="2"/>
    <n v="2"/>
    <n v="0.7"/>
    <n v="1.3"/>
    <n v="-0.7"/>
    <n v="90"/>
    <x v="0"/>
    <x v="0"/>
    <n v="1"/>
    <x v="3"/>
    <n v="0"/>
    <n v="3060"/>
    <n v="0"/>
    <n v="-0.7"/>
  </r>
  <r>
    <s v="13-2021"/>
    <n v="13"/>
    <x v="106"/>
    <s v="MLS"/>
    <x v="3"/>
    <s v="Regular Season"/>
    <s v="Real Salt Lake"/>
    <s v="Home"/>
    <s v="W"/>
    <n v="2"/>
    <n v="1"/>
    <n v="1"/>
    <n v="4.8"/>
    <n v="0.9"/>
    <n v="3.9"/>
    <n v="2.9"/>
    <n v="90"/>
    <x v="0"/>
    <x v="0"/>
    <n v="1"/>
    <x v="3"/>
    <n v="0"/>
    <n v="3060"/>
    <n v="-2.8"/>
    <n v="9.9999999999999978E-2"/>
  </r>
  <r>
    <s v="14-2021"/>
    <n v="14"/>
    <x v="107"/>
    <s v="MLS"/>
    <x v="3"/>
    <s v="Regular Season"/>
    <s v="Portland Timbers"/>
    <s v="Away"/>
    <s v="L"/>
    <n v="1"/>
    <n v="2"/>
    <n v="-1"/>
    <n v="2.2000000000000002"/>
    <n v="0.6"/>
    <n v="1.6"/>
    <n v="2.6"/>
    <n v="79"/>
    <x v="0"/>
    <x v="0"/>
    <n v="0"/>
    <x v="3"/>
    <n v="0"/>
    <n v="3060"/>
    <n v="-1.2000000000000002"/>
    <n v="1.4"/>
  </r>
  <r>
    <s v="15-2021"/>
    <n v="15"/>
    <x v="108"/>
    <s v="MLS"/>
    <x v="3"/>
    <s v="Regular Season"/>
    <s v="Vancouver W'caps"/>
    <s v="Home"/>
    <s v="D"/>
    <n v="2"/>
    <n v="2"/>
    <n v="0"/>
    <n v="1"/>
    <n v="1.2"/>
    <n v="-0.19999999999999996"/>
    <n v="-0.19999999999999996"/>
    <n v="90"/>
    <x v="0"/>
    <x v="0"/>
    <n v="0"/>
    <x v="3"/>
    <n v="0"/>
    <n v="3060"/>
    <n v="1"/>
    <n v="0.8"/>
  </r>
  <r>
    <s v="16-2021"/>
    <n v="16"/>
    <x v="109"/>
    <s v="MLS"/>
    <x v="3"/>
    <s v="Regular Season"/>
    <s v="Minnesota Utd"/>
    <s v="Home"/>
    <s v="D"/>
    <n v="2"/>
    <n v="2"/>
    <n v="0"/>
    <n v="2.2000000000000002"/>
    <n v="1.1000000000000001"/>
    <n v="1.1000000000000001"/>
    <n v="1.1000000000000001"/>
    <n v="90"/>
    <x v="0"/>
    <x v="0"/>
    <n v="0"/>
    <x v="3"/>
    <n v="0"/>
    <n v="3060"/>
    <n v="-0.20000000000000018"/>
    <n v="0.89999999999999991"/>
  </r>
  <r>
    <s v="17-2021"/>
    <n v="17"/>
    <x v="110"/>
    <s v="MLS"/>
    <x v="3"/>
    <s v="Regular Season"/>
    <s v="Sporting KC"/>
    <s v="Home"/>
    <s v="L"/>
    <n v="1"/>
    <n v="4"/>
    <n v="-3"/>
    <n v="2.2999999999999998"/>
    <n v="2"/>
    <n v="0.29999999999999982"/>
    <n v="3.3"/>
    <n v="90"/>
    <x v="0"/>
    <x v="0"/>
    <n v="0"/>
    <x v="3"/>
    <n v="0"/>
    <n v="3060"/>
    <n v="-1.2999999999999998"/>
    <n v="2"/>
  </r>
  <r>
    <s v="18-2021"/>
    <n v="18"/>
    <x v="111"/>
    <s v="MLS"/>
    <x v="3"/>
    <s v="Regular Season"/>
    <s v="SJ Earthquakes"/>
    <s v="Away"/>
    <s v="L"/>
    <n v="1"/>
    <n v="2"/>
    <n v="-1"/>
    <n v="1.6"/>
    <n v="1.8"/>
    <n v="-0.19999999999999996"/>
    <n v="0.8"/>
    <n v="90"/>
    <x v="0"/>
    <x v="0"/>
    <n v="0"/>
    <x v="3"/>
    <n v="0"/>
    <n v="3060"/>
    <n v="-0.60000000000000009"/>
    <n v="0.19999999999999996"/>
  </r>
  <r>
    <s v="19-2021"/>
    <n v="19"/>
    <x v="112"/>
    <s v="MLS"/>
    <x v="3"/>
    <s v="Regular Season"/>
    <s v="Atlanta Utd"/>
    <s v="Away"/>
    <s v="L"/>
    <n v="0"/>
    <n v="1"/>
    <n v="-1"/>
    <n v="1.2"/>
    <n v="1.1000000000000001"/>
    <n v="9.9999999999999867E-2"/>
    <n v="1.0999999999999999"/>
    <n v="90"/>
    <x v="0"/>
    <x v="0"/>
    <n v="0"/>
    <x v="3"/>
    <n v="0"/>
    <n v="3060"/>
    <n v="-1.2"/>
    <n v="-0.10000000000000009"/>
  </r>
  <r>
    <s v="20-2021"/>
    <n v="20"/>
    <x v="113"/>
    <s v="MLS"/>
    <x v="3"/>
    <s v="Regular Season"/>
    <s v="Vancouver W'caps"/>
    <s v="Away"/>
    <s v="L"/>
    <n v="1"/>
    <n v="2"/>
    <n v="-1"/>
    <n v="3.9"/>
    <n v="1.5"/>
    <n v="2.4"/>
    <n v="3.4"/>
    <n v="16"/>
    <x v="0"/>
    <x v="1"/>
    <n v="0"/>
    <x v="3"/>
    <n v="0"/>
    <n v="3060"/>
    <n v="-2.9"/>
    <n v="0.5"/>
  </r>
  <r>
    <s v="21-2021"/>
    <n v="21"/>
    <x v="114"/>
    <s v="MLS"/>
    <x v="3"/>
    <s v="Regular Season"/>
    <s v="LA Galaxy"/>
    <s v="Home"/>
    <s v="D"/>
    <n v="3"/>
    <n v="3"/>
    <n v="0"/>
    <n v="2.9"/>
    <n v="1.3"/>
    <n v="1.5999999999999999"/>
    <n v="1.5999999999999999"/>
    <n v="0"/>
    <x v="1"/>
    <x v="1"/>
    <n v="0"/>
    <x v="3"/>
    <n v="0"/>
    <n v="3060"/>
    <n v="0.10000000000000009"/>
    <n v="1.7"/>
  </r>
  <r>
    <s v="22-2021"/>
    <n v="22"/>
    <x v="115"/>
    <s v="MLS"/>
    <x v="3"/>
    <s v="Regular Season"/>
    <s v="Sporting KC"/>
    <s v="Home"/>
    <s v="W"/>
    <n v="4"/>
    <n v="0"/>
    <n v="4"/>
    <n v="3.5"/>
    <n v="0.4"/>
    <n v="3.1"/>
    <n v="-0.89999999999999991"/>
    <n v="0"/>
    <x v="1"/>
    <x v="1"/>
    <n v="1"/>
    <x v="3"/>
    <n v="0"/>
    <n v="3060"/>
    <n v="0.5"/>
    <n v="-0.4"/>
  </r>
  <r>
    <s v="23-2021"/>
    <n v="23"/>
    <x v="116"/>
    <s v="MLS"/>
    <x v="3"/>
    <s v="Regular Season"/>
    <s v="Real Salt Lake"/>
    <s v="Home"/>
    <s v="W"/>
    <n v="3"/>
    <n v="2"/>
    <n v="1"/>
    <n v="1"/>
    <n v="1"/>
    <n v="0"/>
    <n v="-1"/>
    <n v="0"/>
    <x v="1"/>
    <x v="1"/>
    <n v="1"/>
    <x v="3"/>
    <n v="0"/>
    <n v="3060"/>
    <n v="2"/>
    <n v="1"/>
  </r>
  <r>
    <s v="24-2021"/>
    <n v="24"/>
    <x v="117"/>
    <s v="MLS"/>
    <x v="3"/>
    <s v="Regular Season"/>
    <s v="Austin"/>
    <s v="Away"/>
    <s v="W"/>
    <n v="2"/>
    <n v="1"/>
    <n v="1"/>
    <n v="2.5"/>
    <n v="1.3"/>
    <n v="1.2"/>
    <n v="0.19999999999999996"/>
    <n v="0"/>
    <x v="1"/>
    <x v="1"/>
    <n v="1"/>
    <x v="3"/>
    <n v="0"/>
    <n v="3060"/>
    <n v="-0.5"/>
    <n v="-0.30000000000000004"/>
  </r>
  <r>
    <s v="25-2021"/>
    <n v="25"/>
    <x v="118"/>
    <s v="MLS"/>
    <x v="3"/>
    <s v="Regular Season"/>
    <s v="Portland Timbers"/>
    <s v="Away"/>
    <s v="L"/>
    <n v="1"/>
    <n v="2"/>
    <n v="-1"/>
    <n v="2.6"/>
    <n v="1.9"/>
    <n v="0.70000000000000018"/>
    <n v="1.7000000000000002"/>
    <n v="0"/>
    <x v="1"/>
    <x v="1"/>
    <n v="0"/>
    <x v="3"/>
    <n v="0"/>
    <n v="3060"/>
    <n v="-1.6"/>
    <n v="0.10000000000000009"/>
  </r>
  <r>
    <s v="26-2021"/>
    <n v="26"/>
    <x v="119"/>
    <s v="MLS"/>
    <x v="3"/>
    <s v="Regular Season"/>
    <s v="SJ Earthquakes"/>
    <s v="Away"/>
    <s v="L"/>
    <n v="0"/>
    <n v="2"/>
    <n v="-2"/>
    <n v="1.3"/>
    <n v="1.7"/>
    <n v="-0.39999999999999991"/>
    <n v="1.6"/>
    <n v="0"/>
    <x v="1"/>
    <x v="1"/>
    <n v="0"/>
    <x v="3"/>
    <n v="0"/>
    <n v="3060"/>
    <n v="-1.3"/>
    <n v="0.30000000000000004"/>
  </r>
  <r>
    <s v="27-2021"/>
    <n v="27"/>
    <x v="120"/>
    <s v="MLS"/>
    <x v="3"/>
    <s v="Regular Season"/>
    <s v="Portland Timbers"/>
    <s v="Home"/>
    <s v="L"/>
    <n v="1"/>
    <n v="2"/>
    <n v="-1"/>
    <n v="1.2"/>
    <n v="1.1000000000000001"/>
    <n v="9.9999999999999867E-2"/>
    <n v="1.0999999999999999"/>
    <n v="0"/>
    <x v="1"/>
    <x v="1"/>
    <n v="0"/>
    <x v="3"/>
    <n v="0"/>
    <n v="3060"/>
    <n v="-0.19999999999999996"/>
    <n v="0.89999999999999991"/>
  </r>
  <r>
    <s v="28-2021"/>
    <n v="28"/>
    <x v="121"/>
    <s v="MLS"/>
    <x v="3"/>
    <s v="Regular Season"/>
    <s v="LA Galaxy"/>
    <s v="Away"/>
    <s v="D"/>
    <n v="1"/>
    <n v="1"/>
    <n v="0"/>
    <n v="1.3"/>
    <n v="1.6"/>
    <n v="-0.30000000000000004"/>
    <n v="-0.30000000000000004"/>
    <n v="0"/>
    <x v="1"/>
    <x v="1"/>
    <n v="0"/>
    <x v="3"/>
    <n v="0"/>
    <n v="3060"/>
    <n v="-0.30000000000000004"/>
    <n v="-0.60000000000000009"/>
  </r>
  <r>
    <s v="29-2021"/>
    <n v="29"/>
    <x v="122"/>
    <s v="MLS"/>
    <x v="3"/>
    <s v="Regular Season"/>
    <s v="SJ Earthquakes"/>
    <s v="Home"/>
    <s v="W"/>
    <n v="3"/>
    <n v="1"/>
    <n v="2"/>
    <n v="2.8"/>
    <n v="2.4"/>
    <n v="0.39999999999999991"/>
    <n v="-1.6"/>
    <n v="0"/>
    <x v="1"/>
    <x v="1"/>
    <n v="1"/>
    <x v="3"/>
    <n v="0"/>
    <n v="3060"/>
    <n v="0.20000000000000018"/>
    <n v="-1.4"/>
  </r>
  <r>
    <s v="30-2021"/>
    <n v="30"/>
    <x v="123"/>
    <s v="MLS"/>
    <x v="3"/>
    <s v="Regular Season"/>
    <s v="FC Dallas"/>
    <s v="Away"/>
    <s v="W"/>
    <n v="3"/>
    <n v="2"/>
    <n v="1"/>
    <n v="1.8"/>
    <n v="2"/>
    <n v="-0.19999999999999996"/>
    <n v="-1.2"/>
    <n v="0"/>
    <x v="1"/>
    <x v="1"/>
    <n v="1"/>
    <x v="3"/>
    <n v="0"/>
    <n v="3060"/>
    <n v="1.2"/>
    <n v="0"/>
  </r>
  <r>
    <s v="31-2021"/>
    <n v="31"/>
    <x v="124"/>
    <s v="MLS"/>
    <x v="3"/>
    <s v="Regular Season"/>
    <s v="Minnesota Utd"/>
    <s v="Away"/>
    <s v="D"/>
    <n v="1"/>
    <n v="1"/>
    <n v="0"/>
    <n v="0.6"/>
    <n v="2.2000000000000002"/>
    <n v="-1.6"/>
    <n v="-1.6"/>
    <n v="0"/>
    <x v="1"/>
    <x v="1"/>
    <n v="0"/>
    <x v="3"/>
    <n v="0"/>
    <n v="3060"/>
    <n v="0.4"/>
    <n v="-1.2000000000000002"/>
  </r>
  <r>
    <s v="32-2021"/>
    <n v="32"/>
    <x v="125"/>
    <s v="MLS"/>
    <x v="3"/>
    <s v="Regular Season"/>
    <s v="Seattle Sounders"/>
    <s v="Home"/>
    <s v="W"/>
    <n v="3"/>
    <n v="0"/>
    <n v="3"/>
    <n v="1.1000000000000001"/>
    <n v="1.7"/>
    <n v="-0.59999999999999987"/>
    <n v="-3.5999999999999996"/>
    <n v="12"/>
    <x v="0"/>
    <x v="1"/>
    <n v="1"/>
    <x v="3"/>
    <n v="0"/>
    <n v="3060"/>
    <n v="1.9"/>
    <n v="-1.7"/>
  </r>
  <r>
    <s v="33-2021"/>
    <n v="33"/>
    <x v="126"/>
    <s v="MLS"/>
    <x v="3"/>
    <s v="Regular Season"/>
    <s v="Vancouver W'caps"/>
    <s v="Home"/>
    <s v="D"/>
    <n v="1"/>
    <n v="1"/>
    <n v="0"/>
    <n v="3.1"/>
    <n v="0.8"/>
    <n v="2.2999999999999998"/>
    <n v="2.2999999999999998"/>
    <n v="18"/>
    <x v="0"/>
    <x v="1"/>
    <n v="0"/>
    <x v="3"/>
    <n v="0"/>
    <n v="3060"/>
    <n v="-2.1"/>
    <n v="0.19999999999999996"/>
  </r>
  <r>
    <s v="34-2021"/>
    <n v="34"/>
    <x v="127"/>
    <s v="MLS"/>
    <x v="3"/>
    <s v="Regular Season"/>
    <s v="Colorado Rapids"/>
    <s v="Away"/>
    <s v="L"/>
    <n v="2"/>
    <n v="5"/>
    <n v="-3"/>
    <n v="1.8"/>
    <n v="3.1"/>
    <n v="-1.3"/>
    <n v="1.7"/>
    <n v="59"/>
    <x v="0"/>
    <x v="2"/>
    <n v="0"/>
    <x v="3"/>
    <n v="0"/>
    <n v="3060"/>
    <n v="0.19999999999999996"/>
    <n v="1.9"/>
  </r>
  <r>
    <s v="1-2022"/>
    <n v="1"/>
    <x v="128"/>
    <s v="MLS"/>
    <x v="4"/>
    <s v="Regular Season"/>
    <s v="Colorado Rapids"/>
    <s v="Home"/>
    <s v="W"/>
    <n v="3"/>
    <n v="0"/>
    <n v="3"/>
    <n v="2.4"/>
    <n v="0.4"/>
    <n v="2"/>
    <n v="-1"/>
    <n v="86"/>
    <x v="0"/>
    <x v="0"/>
    <n v="1"/>
    <x v="4"/>
    <n v="0"/>
    <n v="3330"/>
    <n v="0.60000000000000009"/>
    <n v="-0.4"/>
  </r>
  <r>
    <s v="2-2022"/>
    <n v="2"/>
    <x v="129"/>
    <s v="MLS"/>
    <x v="4"/>
    <s v="Regular Season"/>
    <s v="Portland Timbers"/>
    <s v="Home"/>
    <s v="D"/>
    <n v="1"/>
    <n v="1"/>
    <n v="0"/>
    <n v="2.2000000000000002"/>
    <n v="0.6"/>
    <n v="1.6"/>
    <n v="1.6"/>
    <n v="45"/>
    <x v="0"/>
    <x v="2"/>
    <n v="0"/>
    <x v="4"/>
    <n v="0"/>
    <n v="3330"/>
    <n v="-1.2000000000000002"/>
    <n v="0.4"/>
  </r>
  <r>
    <s v="3-2022"/>
    <n v="3"/>
    <x v="130"/>
    <s v="MLS"/>
    <x v="4"/>
    <s v="Regular Season"/>
    <s v="Inter Miami"/>
    <s v="Away"/>
    <s v="W"/>
    <n v="2"/>
    <n v="0"/>
    <n v="2"/>
    <n v="0.5"/>
    <n v="0.4"/>
    <n v="9.9999999999999978E-2"/>
    <n v="-1.9"/>
    <n v="70"/>
    <x v="0"/>
    <x v="0"/>
    <n v="1"/>
    <x v="4"/>
    <n v="0"/>
    <n v="3330"/>
    <n v="1.5"/>
    <n v="-0.4"/>
  </r>
  <r>
    <s v="4-2022"/>
    <n v="4"/>
    <x v="131"/>
    <s v="MLS"/>
    <x v="4"/>
    <s v="Regular Season"/>
    <s v="Vancouver W'caps"/>
    <s v="Home"/>
    <s v="W"/>
    <n v="3"/>
    <n v="1"/>
    <n v="2"/>
    <n v="1.7"/>
    <n v="1.1000000000000001"/>
    <n v="0.59999999999999987"/>
    <n v="-1.4000000000000001"/>
    <n v="81"/>
    <x v="0"/>
    <x v="0"/>
    <n v="1"/>
    <x v="4"/>
    <n v="0"/>
    <n v="3330"/>
    <n v="1.3"/>
    <n v="-0.10000000000000009"/>
  </r>
  <r>
    <s v="5-2022"/>
    <n v="5"/>
    <x v="132"/>
    <s v="MLS"/>
    <x v="4"/>
    <s v="Regular Season"/>
    <s v="Orlando City"/>
    <s v="Away"/>
    <s v="W"/>
    <n v="4"/>
    <n v="2"/>
    <n v="2"/>
    <n v="2.7"/>
    <n v="1.4"/>
    <n v="1.3000000000000003"/>
    <n v="-0.69999999999999973"/>
    <n v="74"/>
    <x v="0"/>
    <x v="0"/>
    <n v="1"/>
    <x v="4"/>
    <n v="0"/>
    <n v="3330"/>
    <n v="1.2999999999999998"/>
    <n v="0.60000000000000009"/>
  </r>
  <r>
    <s v="6-2022"/>
    <n v="6"/>
    <x v="133"/>
    <s v="MLS"/>
    <x v="4"/>
    <s v="Regular Season"/>
    <s v="LA Galaxy"/>
    <s v="Away"/>
    <s v="L"/>
    <n v="1"/>
    <n v="2"/>
    <n v="-1"/>
    <n v="2"/>
    <n v="1"/>
    <n v="1"/>
    <n v="2"/>
    <n v="90"/>
    <x v="0"/>
    <x v="0"/>
    <n v="0"/>
    <x v="4"/>
    <n v="0"/>
    <n v="3330"/>
    <n v="-1"/>
    <n v="1"/>
  </r>
  <r>
    <s v="7-2022"/>
    <n v="7"/>
    <x v="134"/>
    <s v="MLS"/>
    <x v="4"/>
    <s v="Regular Season"/>
    <s v="Sporting KC"/>
    <s v="Home"/>
    <s v="W"/>
    <n v="3"/>
    <n v="1"/>
    <n v="2"/>
    <n v="2"/>
    <n v="1"/>
    <n v="1"/>
    <n v="-1"/>
    <n v="90"/>
    <x v="0"/>
    <x v="0"/>
    <n v="1"/>
    <x v="4"/>
    <n v="0"/>
    <n v="3330"/>
    <n v="1"/>
    <n v="0"/>
  </r>
  <r>
    <s v="8-2022"/>
    <n v="8"/>
    <x v="135"/>
    <s v="MLS"/>
    <x v="4"/>
    <s v="Regular Season"/>
    <s v="FC Cincinnati"/>
    <s v="Away"/>
    <s v="W"/>
    <n v="2"/>
    <n v="1"/>
    <n v="1"/>
    <n v="1.8"/>
    <n v="1.5"/>
    <n v="0.30000000000000004"/>
    <n v="-0.7"/>
    <n v="87"/>
    <x v="0"/>
    <x v="0"/>
    <n v="1"/>
    <x v="4"/>
    <n v="0"/>
    <n v="3330"/>
    <n v="0.19999999999999996"/>
    <n v="-0.5"/>
  </r>
  <r>
    <s v="9-2022"/>
    <n v="9"/>
    <x v="136"/>
    <s v="MLS"/>
    <x v="4"/>
    <s v="Regular Season"/>
    <s v="Minnesota Utd"/>
    <s v="Home"/>
    <s v="W"/>
    <n v="2"/>
    <n v="0"/>
    <n v="2"/>
    <n v="2.2999999999999998"/>
    <n v="0.7"/>
    <n v="1.5999999999999999"/>
    <n v="-0.40000000000000013"/>
    <n v="88"/>
    <x v="0"/>
    <x v="0"/>
    <n v="1"/>
    <x v="4"/>
    <n v="0"/>
    <n v="3330"/>
    <n v="-0.29999999999999982"/>
    <n v="-0.7"/>
  </r>
  <r>
    <s v="10-2022"/>
    <n v="10"/>
    <x v="137"/>
    <s v="MLS"/>
    <x v="4"/>
    <s v="Regular Season"/>
    <s v="Philadelphia Union"/>
    <s v="Home"/>
    <s v="D"/>
    <n v="2"/>
    <n v="2"/>
    <n v="0"/>
    <n v="1.4"/>
    <n v="1.1000000000000001"/>
    <n v="0.29999999999999982"/>
    <n v="0.29999999999999982"/>
    <n v="90"/>
    <x v="0"/>
    <x v="0"/>
    <n v="0"/>
    <x v="4"/>
    <n v="0"/>
    <n v="3330"/>
    <n v="0.60000000000000009"/>
    <n v="0.89999999999999991"/>
  </r>
  <r>
    <s v="11-2022"/>
    <n v="11"/>
    <x v="138"/>
    <s v="MLS"/>
    <x v="4"/>
    <s v="Regular Season"/>
    <s v="Colorado Rapids"/>
    <s v="Away"/>
    <s v="L"/>
    <n v="0"/>
    <n v="2"/>
    <n v="-2"/>
    <n v="1.3"/>
    <n v="3.1"/>
    <n v="-1.8"/>
    <n v="0.19999999999999996"/>
    <n v="90"/>
    <x v="0"/>
    <x v="0"/>
    <n v="0"/>
    <x v="4"/>
    <n v="0"/>
    <n v="3330"/>
    <n v="-1.3"/>
    <n v="-1.1000000000000001"/>
  </r>
  <r>
    <s v="12-2022"/>
    <n v="12"/>
    <x v="139"/>
    <s v="MLS"/>
    <x v="4"/>
    <s v="Regular Season"/>
    <s v="Austin"/>
    <s v="Home"/>
    <s v="L"/>
    <n v="1"/>
    <n v="2"/>
    <n v="-1"/>
    <n v="1.9"/>
    <n v="0.7"/>
    <n v="1.2"/>
    <n v="2.2000000000000002"/>
    <n v="90"/>
    <x v="0"/>
    <x v="0"/>
    <n v="0"/>
    <x v="4"/>
    <n v="0"/>
    <n v="3330"/>
    <n v="-0.89999999999999991"/>
    <n v="1.3"/>
  </r>
  <r>
    <s v="13-2022"/>
    <n v="13"/>
    <x v="140"/>
    <s v="MLS"/>
    <x v="4"/>
    <s v="Regular Season"/>
    <s v="Columbus Crew"/>
    <s v="Away"/>
    <s v="W"/>
    <n v="2"/>
    <n v="0"/>
    <n v="2"/>
    <n v="1.8"/>
    <n v="0.9"/>
    <n v="0.9"/>
    <n v="-1.1000000000000001"/>
    <n v="45"/>
    <x v="0"/>
    <x v="2"/>
    <n v="1"/>
    <x v="4"/>
    <n v="0"/>
    <n v="3330"/>
    <n v="0.19999999999999996"/>
    <n v="-0.9"/>
  </r>
  <r>
    <s v="14-2022"/>
    <n v="14"/>
    <x v="141"/>
    <s v="MLS"/>
    <x v="4"/>
    <s v="Regular Season"/>
    <s v="SJ Earthquakes"/>
    <s v="Home"/>
    <s v="W"/>
    <n v="3"/>
    <n v="2"/>
    <n v="1"/>
    <n v="2.1"/>
    <n v="1.9"/>
    <n v="0.20000000000000018"/>
    <n v="-0.79999999999999982"/>
    <n v="0"/>
    <x v="1"/>
    <x v="1"/>
    <n v="1"/>
    <x v="4"/>
    <n v="0"/>
    <n v="3330"/>
    <n v="0.89999999999999991"/>
    <n v="0.10000000000000009"/>
  </r>
  <r>
    <s v="15-2022"/>
    <n v="15"/>
    <x v="142"/>
    <s v="MLS"/>
    <x v="4"/>
    <s v="Regular Season"/>
    <s v="Seattle Sounders"/>
    <s v="Away"/>
    <s v="D"/>
    <n v="1"/>
    <n v="1"/>
    <n v="0"/>
    <n v="1.3"/>
    <n v="1.2"/>
    <n v="0.10000000000000009"/>
    <n v="0.10000000000000009"/>
    <n v="45"/>
    <x v="0"/>
    <x v="2"/>
    <n v="0"/>
    <x v="4"/>
    <n v="0"/>
    <n v="3330"/>
    <n v="-0.30000000000000004"/>
    <n v="-0.19999999999999996"/>
  </r>
  <r>
    <s v="16-2022"/>
    <n v="16"/>
    <x v="143"/>
    <s v="MLS"/>
    <x v="4"/>
    <s v="Regular Season"/>
    <s v="NY Red Bulls"/>
    <s v="Home"/>
    <s v="W"/>
    <n v="2"/>
    <n v="0"/>
    <n v="2"/>
    <n v="1.7"/>
    <n v="0.6"/>
    <n v="1.1000000000000001"/>
    <n v="-0.89999999999999991"/>
    <n v="90"/>
    <x v="0"/>
    <x v="0"/>
    <n v="1"/>
    <x v="4"/>
    <n v="0"/>
    <n v="3330"/>
    <n v="0.30000000000000004"/>
    <n v="-0.6"/>
  </r>
  <r>
    <s v="17-2022"/>
    <n v="17"/>
    <x v="144"/>
    <s v="MLS"/>
    <x v="4"/>
    <s v="Regular Season"/>
    <s v="FC Dallas"/>
    <s v="Home"/>
    <s v="W"/>
    <n v="3"/>
    <n v="1"/>
    <n v="2"/>
    <n v="1.9"/>
    <n v="0.6"/>
    <n v="1.2999999999999998"/>
    <n v="-0.70000000000000018"/>
    <n v="90"/>
    <x v="0"/>
    <x v="0"/>
    <n v="1"/>
    <x v="4"/>
    <n v="0"/>
    <n v="3330"/>
    <n v="1.1000000000000001"/>
    <n v="0.4"/>
  </r>
  <r>
    <s v="18-2022"/>
    <n v="18"/>
    <x v="145"/>
    <s v="MLS"/>
    <x v="4"/>
    <s v="Regular Season"/>
    <s v="Vancouver W'caps"/>
    <s v="Away"/>
    <s v="L"/>
    <n v="0"/>
    <n v="1"/>
    <n v="-1"/>
    <n v="0.4"/>
    <n v="0.9"/>
    <n v="-0.5"/>
    <n v="0.5"/>
    <n v="0"/>
    <x v="1"/>
    <x v="1"/>
    <n v="0"/>
    <x v="4"/>
    <n v="0"/>
    <n v="3330"/>
    <n v="-0.4"/>
    <n v="9.9999999999999978E-2"/>
  </r>
  <r>
    <s v="19-2022"/>
    <n v="19"/>
    <x v="146"/>
    <s v="MLS"/>
    <x v="4"/>
    <s v="Regular Season"/>
    <s v="LA Galaxy"/>
    <s v="Home"/>
    <s v="W"/>
    <n v="3"/>
    <n v="2"/>
    <n v="1"/>
    <n v="1.5"/>
    <n v="1.7"/>
    <n v="-0.19999999999999996"/>
    <n v="-1.2"/>
    <n v="90"/>
    <x v="0"/>
    <x v="0"/>
    <n v="1"/>
    <x v="4"/>
    <n v="0"/>
    <n v="3330"/>
    <n v="1.5"/>
    <n v="0.30000000000000004"/>
  </r>
  <r>
    <s v="20-2022"/>
    <n v="20"/>
    <x v="147"/>
    <s v="MLS"/>
    <x v="4"/>
    <s v="Regular Season"/>
    <s v="Nashville SC"/>
    <s v="Away"/>
    <s v="W"/>
    <n v="2"/>
    <n v="1"/>
    <n v="1"/>
    <n v="1.6"/>
    <n v="2"/>
    <n v="-0.39999999999999991"/>
    <n v="-1.4"/>
    <n v="90"/>
    <x v="0"/>
    <x v="0"/>
    <n v="1"/>
    <x v="4"/>
    <n v="0"/>
    <n v="3330"/>
    <n v="0.39999999999999991"/>
    <n v="-1"/>
  </r>
  <r>
    <s v="21-2022"/>
    <n v="21"/>
    <x v="148"/>
    <s v="MLS"/>
    <x v="4"/>
    <s v="Regular Season"/>
    <s v="Sporting KC"/>
    <s v="Away"/>
    <s v="W"/>
    <n v="2"/>
    <n v="0"/>
    <n v="2"/>
    <n v="1"/>
    <n v="0.5"/>
    <n v="0.5"/>
    <n v="-1.5"/>
    <n v="78"/>
    <x v="0"/>
    <x v="0"/>
    <n v="1"/>
    <x v="4"/>
    <n v="0"/>
    <n v="3330"/>
    <n v="1"/>
    <n v="-0.5"/>
  </r>
  <r>
    <s v="22-2022"/>
    <n v="22"/>
    <x v="149"/>
    <s v="MLS"/>
    <x v="4"/>
    <s v="Regular Season"/>
    <s v="Seattle Sounders"/>
    <s v="Home"/>
    <s v="W"/>
    <n v="2"/>
    <n v="1"/>
    <n v="1"/>
    <n v="1.6"/>
    <n v="0.9"/>
    <n v="0.70000000000000007"/>
    <n v="-0.29999999999999993"/>
    <n v="90"/>
    <x v="0"/>
    <x v="0"/>
    <n v="1"/>
    <x v="4"/>
    <n v="0"/>
    <n v="3330"/>
    <n v="0.39999999999999991"/>
    <n v="9.9999999999999978E-2"/>
  </r>
  <r>
    <s v="23-2022"/>
    <n v="23"/>
    <x v="150"/>
    <s v="MLS"/>
    <x v="4"/>
    <s v="Regular Season"/>
    <s v="Real Salt Lake"/>
    <s v="Away"/>
    <s v="W"/>
    <n v="4"/>
    <n v="1"/>
    <n v="3"/>
    <n v="1.4"/>
    <n v="0.7"/>
    <n v="0.7"/>
    <n v="-2.2999999999999998"/>
    <n v="64"/>
    <x v="0"/>
    <x v="2"/>
    <n v="1"/>
    <x v="4"/>
    <n v="0"/>
    <n v="3330"/>
    <n v="2.6"/>
    <n v="0.30000000000000004"/>
  </r>
  <r>
    <s v="24-2022"/>
    <n v="24"/>
    <x v="151"/>
    <s v="MLS"/>
    <x v="4"/>
    <s v="Regular Season"/>
    <s v="Charlotte"/>
    <s v="Home"/>
    <s v="W"/>
    <n v="5"/>
    <n v="0"/>
    <n v="5"/>
    <n v="2.6"/>
    <n v="0.2"/>
    <n v="2.4"/>
    <n v="-2.6"/>
    <n v="74"/>
    <x v="0"/>
    <x v="0"/>
    <n v="1"/>
    <x v="4"/>
    <n v="0"/>
    <n v="3330"/>
    <n v="2.4"/>
    <n v="-0.2"/>
  </r>
  <r>
    <s v="25-2022"/>
    <n v="25"/>
    <x v="152"/>
    <s v="MLS"/>
    <x v="4"/>
    <s v="Regular Season"/>
    <s v="D.C. United"/>
    <s v="Home"/>
    <s v="W"/>
    <n v="1"/>
    <n v="0"/>
    <n v="1"/>
    <n v="2"/>
    <n v="0.6"/>
    <n v="1.4"/>
    <n v="0.39999999999999991"/>
    <n v="73"/>
    <x v="0"/>
    <x v="0"/>
    <n v="1"/>
    <x v="4"/>
    <n v="0"/>
    <n v="3330"/>
    <n v="-1"/>
    <n v="-0.6"/>
  </r>
  <r>
    <s v="26-2022"/>
    <n v="26"/>
    <x v="153"/>
    <s v="MLS"/>
    <x v="4"/>
    <s v="Regular Season"/>
    <s v="SJ Earthquakes"/>
    <s v="Away"/>
    <s v="L"/>
    <n v="1"/>
    <n v="2"/>
    <n v="-1"/>
    <n v="1.3"/>
    <n v="0.9"/>
    <n v="0.4"/>
    <n v="1.4"/>
    <n v="26"/>
    <x v="0"/>
    <x v="1"/>
    <n v="0"/>
    <x v="4"/>
    <n v="0"/>
    <n v="3330"/>
    <n v="-0.30000000000000004"/>
    <n v="1.1000000000000001"/>
  </r>
  <r>
    <s v="27-2022"/>
    <n v="27"/>
    <x v="154"/>
    <s v="MLS"/>
    <x v="4"/>
    <s v="Regular Season"/>
    <s v="Austin"/>
    <s v="Away"/>
    <s v="L"/>
    <n v="1"/>
    <n v="4"/>
    <n v="-3"/>
    <n v="1.5"/>
    <n v="0.6"/>
    <n v="0.9"/>
    <n v="3.9"/>
    <n v="77"/>
    <x v="0"/>
    <x v="0"/>
    <n v="0"/>
    <x v="4"/>
    <n v="0"/>
    <n v="3330"/>
    <n v="-0.5"/>
    <n v="3.4"/>
  </r>
  <r>
    <s v="28-2022"/>
    <n v="28"/>
    <x v="155"/>
    <s v="MLS"/>
    <x v="4"/>
    <s v="Regular Season"/>
    <s v="Houston Dynamo"/>
    <s v="Away"/>
    <s v="L"/>
    <n v="1"/>
    <n v="2"/>
    <n v="-1"/>
    <n v="2.7"/>
    <n v="1.4"/>
    <n v="1.3000000000000003"/>
    <n v="2.3000000000000003"/>
    <n v="59"/>
    <x v="0"/>
    <x v="2"/>
    <n v="0"/>
    <x v="4"/>
    <n v="0"/>
    <n v="3330"/>
    <n v="-1.7000000000000002"/>
    <n v="0.60000000000000009"/>
  </r>
  <r>
    <s v="29-2022"/>
    <n v="29"/>
    <x v="156"/>
    <s v="MLS"/>
    <x v="4"/>
    <s v="Regular Season"/>
    <s v="Real Salt Lake"/>
    <s v="Home"/>
    <s v="W"/>
    <n v="2"/>
    <n v="0"/>
    <n v="2"/>
    <n v="3.1"/>
    <n v="0.3"/>
    <n v="2.8000000000000003"/>
    <n v="0.80000000000000027"/>
    <n v="32"/>
    <x v="0"/>
    <x v="2"/>
    <n v="1"/>
    <x v="4"/>
    <n v="0"/>
    <n v="3330"/>
    <n v="-1.1000000000000001"/>
    <n v="-0.3"/>
  </r>
  <r>
    <s v="30-2022"/>
    <n v="30"/>
    <x v="157"/>
    <s v="MLS"/>
    <x v="4"/>
    <s v="Regular Season"/>
    <s v="FC Dallas"/>
    <s v="Away"/>
    <s v="L"/>
    <n v="1"/>
    <n v="2"/>
    <n v="-1"/>
    <n v="1.1000000000000001"/>
    <n v="0.9"/>
    <n v="0.20000000000000007"/>
    <n v="1.2000000000000002"/>
    <n v="59"/>
    <x v="0"/>
    <x v="2"/>
    <n v="0"/>
    <x v="4"/>
    <n v="0"/>
    <n v="3330"/>
    <n v="-0.10000000000000009"/>
    <n v="1.1000000000000001"/>
  </r>
  <r>
    <s v="31-2022"/>
    <n v="31"/>
    <x v="158"/>
    <s v="MLS"/>
    <x v="4"/>
    <s v="Regular Season"/>
    <s v="Minnesota Utd"/>
    <s v="Away"/>
    <s v="D"/>
    <n v="1"/>
    <n v="1"/>
    <n v="0"/>
    <n v="1.1000000000000001"/>
    <n v="1.6"/>
    <n v="-0.5"/>
    <n v="-0.5"/>
    <n v="90"/>
    <x v="0"/>
    <x v="0"/>
    <n v="0"/>
    <x v="4"/>
    <n v="0"/>
    <n v="3330"/>
    <n v="-0.10000000000000009"/>
    <n v="-0.60000000000000009"/>
  </r>
  <r>
    <s v="32-2022"/>
    <n v="32"/>
    <x v="159"/>
    <s v="MLS"/>
    <x v="4"/>
    <s v="Regular Season"/>
    <s v="Houston Dynamo"/>
    <s v="Home"/>
    <s v="W"/>
    <n v="3"/>
    <n v="1"/>
    <n v="2"/>
    <n v="3"/>
    <n v="0.9"/>
    <n v="2.1"/>
    <n v="0.10000000000000009"/>
    <n v="63"/>
    <x v="0"/>
    <x v="2"/>
    <n v="1"/>
    <x v="4"/>
    <n v="0"/>
    <n v="3330"/>
    <n v="0"/>
    <n v="9.9999999999999978E-2"/>
  </r>
  <r>
    <s v="33-2022"/>
    <n v="33"/>
    <x v="160"/>
    <s v="MLS"/>
    <x v="4"/>
    <s v="Regular Season"/>
    <s v="Portland Timbers"/>
    <s v="Away"/>
    <s v="W"/>
    <n v="2"/>
    <n v="1"/>
    <n v="1"/>
    <n v="1"/>
    <n v="1.2"/>
    <n v="-0.19999999999999996"/>
    <n v="-1.2"/>
    <n v="77"/>
    <x v="0"/>
    <x v="0"/>
    <n v="1"/>
    <x v="4"/>
    <n v="0"/>
    <n v="3330"/>
    <n v="1"/>
    <n v="-0.19999999999999996"/>
  </r>
  <r>
    <s v="34-2022"/>
    <n v="34"/>
    <x v="161"/>
    <s v="MLS"/>
    <x v="4"/>
    <s v="Regular Season"/>
    <s v="Nashville SC"/>
    <s v="Home"/>
    <s v="L"/>
    <n v="0"/>
    <n v="1"/>
    <n v="-1"/>
    <n v="4.5"/>
    <n v="1.2"/>
    <n v="3.3"/>
    <n v="4.3"/>
    <n v="40"/>
    <x v="0"/>
    <x v="2"/>
    <n v="0"/>
    <x v="4"/>
    <n v="0"/>
    <n v="3330"/>
    <n v="-4.5"/>
    <n v="-0.19999999999999996"/>
  </r>
  <r>
    <s v="35-2022"/>
    <n v="35"/>
    <x v="162"/>
    <s v="MLS"/>
    <x v="4"/>
    <s v="Conference Semifinals"/>
    <s v="LA Galaxy"/>
    <s v="Home"/>
    <s v="W"/>
    <n v="3"/>
    <n v="2"/>
    <n v="1"/>
    <n v="2.5"/>
    <n v="0.4"/>
    <n v="2.1"/>
    <n v="1.1000000000000001"/>
    <n v="78"/>
    <x v="0"/>
    <x v="0"/>
    <n v="1"/>
    <x v="4"/>
    <n v="0"/>
    <n v="3330"/>
    <n v="0.5"/>
    <n v="1.6"/>
  </r>
  <r>
    <s v="36-2022"/>
    <n v="36"/>
    <x v="163"/>
    <s v="MLS"/>
    <x v="4"/>
    <s v="Conference Finals"/>
    <s v="Austin"/>
    <s v="Home"/>
    <s v="W"/>
    <n v="3"/>
    <n v="0"/>
    <n v="3"/>
    <n v="2.1"/>
    <n v="0.3"/>
    <n v="1.8"/>
    <n v="-1.2"/>
    <n v="77"/>
    <x v="0"/>
    <x v="0"/>
    <n v="1"/>
    <x v="4"/>
    <n v="0"/>
    <n v="3330"/>
    <n v="0.89999999999999991"/>
    <n v="-0.3"/>
  </r>
  <r>
    <s v="37-2022"/>
    <n v="37"/>
    <x v="164"/>
    <s v="MLS"/>
    <x v="4"/>
    <s v="MLS Cup"/>
    <s v="Philadelphia Union"/>
    <s v="Home"/>
    <s v="D"/>
    <n v="3"/>
    <n v="3"/>
    <n v="0"/>
    <n v="1"/>
    <n v="1.6"/>
    <n v="-0.60000000000000009"/>
    <n v="-0.60000000000000009"/>
    <n v="97"/>
    <x v="0"/>
    <x v="0"/>
    <n v="0"/>
    <x v="4"/>
    <n v="0"/>
    <n v="3330"/>
    <n v="2"/>
    <n v="1.4"/>
  </r>
  <r>
    <s v="1-2023"/>
    <n v="1"/>
    <x v="165"/>
    <s v="MLS"/>
    <x v="5"/>
    <s v="Regular Season"/>
    <s v="Portland Timbers"/>
    <s v="Home"/>
    <s v="W"/>
    <n v="3"/>
    <n v="2"/>
    <n v="1"/>
    <n v="1.7"/>
    <n v="1.1000000000000001"/>
    <n v="0.59999999999999987"/>
    <n v="-0.40000000000000013"/>
    <n v="66"/>
    <x v="0"/>
    <x v="2"/>
    <n v="1"/>
    <x v="5"/>
    <n v="0"/>
    <n v="3510"/>
    <n v="1.3"/>
    <n v="0.89999999999999991"/>
  </r>
  <r>
    <s v="2-2023"/>
    <n v="2"/>
    <x v="166"/>
    <s v="MLS"/>
    <x v="5"/>
    <s v="Regular Season"/>
    <s v="NE Revolution"/>
    <s v="Home"/>
    <s v="W"/>
    <n v="4"/>
    <n v="0"/>
    <n v="4"/>
    <n v="2.9"/>
    <n v="0.4"/>
    <n v="2.5"/>
    <n v="-1.5"/>
    <n v="25"/>
    <x v="0"/>
    <x v="1"/>
    <n v="1"/>
    <x v="5"/>
    <n v="0"/>
    <n v="3510"/>
    <n v="1.1000000000000001"/>
    <n v="-0.4"/>
  </r>
  <r>
    <s v="3-2023"/>
    <n v="3"/>
    <x v="167"/>
    <s v="MLS"/>
    <x v="5"/>
    <s v="Regular Season"/>
    <s v="Seattle Sounders"/>
    <s v="Away"/>
    <s v="D"/>
    <n v="0"/>
    <n v="0"/>
    <n v="0"/>
    <n v="1.2"/>
    <n v="1.3"/>
    <n v="-0.10000000000000009"/>
    <n v="-0.10000000000000009"/>
    <n v="66"/>
    <x v="0"/>
    <x v="2"/>
    <n v="0"/>
    <x v="5"/>
    <n v="0"/>
    <n v="3510"/>
    <n v="-1.2"/>
    <n v="-1.3"/>
  </r>
  <r>
    <s v="4-2023"/>
    <n v="4"/>
    <x v="168"/>
    <s v="MLS"/>
    <x v="5"/>
    <s v="Regular Season"/>
    <s v="FC Dallas"/>
    <s v="Home"/>
    <s v="W"/>
    <n v="2"/>
    <n v="1"/>
    <n v="1"/>
    <n v="2.2999999999999998"/>
    <n v="0.5"/>
    <n v="1.7999999999999998"/>
    <n v="0.79999999999999982"/>
    <n v="90"/>
    <x v="0"/>
    <x v="0"/>
    <n v="1"/>
    <x v="5"/>
    <n v="0"/>
    <n v="3510"/>
    <n v="-0.29999999999999982"/>
    <n v="0.5"/>
  </r>
  <r>
    <s v="5-2023"/>
    <n v="5"/>
    <x v="169"/>
    <s v="MLS"/>
    <x v="5"/>
    <s v="Regular Season"/>
    <s v="Colorado Rapids"/>
    <s v="Away"/>
    <s v="D"/>
    <n v="0"/>
    <n v="0"/>
    <n v="0"/>
    <n v="0.6"/>
    <n v="1"/>
    <n v="-0.4"/>
    <n v="-0.4"/>
    <n v="74"/>
    <x v="0"/>
    <x v="0"/>
    <n v="0"/>
    <x v="5"/>
    <n v="0"/>
    <n v="3510"/>
    <n v="-0.6"/>
    <n v="-1"/>
  </r>
  <r>
    <s v="6-2023"/>
    <n v="6"/>
    <x v="170"/>
    <s v="MLS"/>
    <x v="5"/>
    <s v="Regular Season"/>
    <s v="Austin"/>
    <s v="Home"/>
    <s v="W"/>
    <n v="3"/>
    <n v="0"/>
    <n v="3"/>
    <n v="1.4"/>
    <n v="0.4"/>
    <n v="0.99999999999999989"/>
    <n v="-2"/>
    <n v="29"/>
    <x v="0"/>
    <x v="1"/>
    <n v="1"/>
    <x v="5"/>
    <n v="0"/>
    <n v="3510"/>
    <n v="1.6"/>
    <n v="-0.4"/>
  </r>
  <r>
    <s v="7-2023"/>
    <n v="7"/>
    <x v="171"/>
    <s v="MLS"/>
    <x v="5"/>
    <s v="Regular Season"/>
    <s v="LA Galaxy"/>
    <s v="Away"/>
    <s v="W"/>
    <n v="3"/>
    <n v="2"/>
    <n v="1"/>
    <n v="2.2000000000000002"/>
    <n v="1.8"/>
    <n v="0.40000000000000013"/>
    <n v="-0.59999999999999987"/>
    <n v="71"/>
    <x v="0"/>
    <x v="0"/>
    <n v="1"/>
    <x v="5"/>
    <n v="0"/>
    <n v="3510"/>
    <n v="0.79999999999999982"/>
    <n v="0.19999999999999996"/>
  </r>
  <r>
    <s v="8-2023"/>
    <n v="8"/>
    <x v="172"/>
    <s v="MLS"/>
    <x v="5"/>
    <s v="Regular Season"/>
    <s v="Nashville SC"/>
    <s v="Away"/>
    <s v="D"/>
    <n v="1"/>
    <n v="1"/>
    <n v="0"/>
    <n v="1.7"/>
    <n v="1.1000000000000001"/>
    <n v="0.59999999999999987"/>
    <n v="0.59999999999999987"/>
    <n v="20"/>
    <x v="0"/>
    <x v="1"/>
    <n v="0"/>
    <x v="5"/>
    <n v="0"/>
    <n v="3510"/>
    <n v="-0.7"/>
    <n v="-0.10000000000000009"/>
  </r>
  <r>
    <s v="9-2023"/>
    <n v="9"/>
    <x v="173"/>
    <s v="MLS"/>
    <x v="5"/>
    <s v="Regular Season"/>
    <s v="SJ Earthquakes"/>
    <s v="Away"/>
    <s v="L"/>
    <n v="1"/>
    <n v="2"/>
    <n v="-1"/>
    <n v="1.2"/>
    <n v="2.2999999999999998"/>
    <n v="-1.0999999999999999"/>
    <n v="-9.9999999999999867E-2"/>
    <n v="75"/>
    <x v="0"/>
    <x v="0"/>
    <n v="0"/>
    <x v="5"/>
    <n v="0"/>
    <n v="3510"/>
    <n v="-0.19999999999999996"/>
    <n v="-0.29999999999999982"/>
  </r>
  <r>
    <s v="10-2023"/>
    <n v="10"/>
    <x v="174"/>
    <s v="MLS"/>
    <x v="5"/>
    <s v="Regular Season"/>
    <s v="Real Salt Lake"/>
    <s v="Away"/>
    <s v="W"/>
    <n v="3"/>
    <n v="0"/>
    <n v="3"/>
    <n v="2.4"/>
    <n v="1.4"/>
    <n v="1"/>
    <n v="-2"/>
    <n v="80"/>
    <x v="0"/>
    <x v="0"/>
    <n v="1"/>
    <x v="5"/>
    <n v="0"/>
    <n v="3510"/>
    <n v="0.60000000000000009"/>
    <n v="-1.4"/>
  </r>
  <r>
    <s v="11-2023"/>
    <n v="11"/>
    <x v="175"/>
    <s v="MLS"/>
    <x v="5"/>
    <s v="Regular Season"/>
    <s v="Sporting KC"/>
    <s v="Home"/>
    <s v="D"/>
    <n v="1"/>
    <n v="1"/>
    <n v="0"/>
    <n v="1.2"/>
    <n v="0.4"/>
    <n v="0.79999999999999993"/>
    <n v="0.79999999999999993"/>
    <n v="67"/>
    <x v="0"/>
    <x v="2"/>
    <n v="0"/>
    <x v="5"/>
    <n v="0"/>
    <n v="3510"/>
    <n v="-0.19999999999999996"/>
    <n v="0.6"/>
  </r>
  <r>
    <s v="12-2023"/>
    <n v="12"/>
    <x v="176"/>
    <s v="MLS"/>
    <x v="5"/>
    <s v="Regular Season"/>
    <s v="SJ Earthquakes"/>
    <s v="Home"/>
    <s v="W"/>
    <n v="2"/>
    <n v="1"/>
    <n v="1"/>
    <n v="1.7"/>
    <n v="0.7"/>
    <n v="1"/>
    <n v="0"/>
    <n v="27"/>
    <x v="0"/>
    <x v="1"/>
    <n v="1"/>
    <x v="5"/>
    <n v="0"/>
    <n v="3510"/>
    <n v="0.30000000000000004"/>
    <n v="0.30000000000000004"/>
  </r>
  <r>
    <s v="13-2023"/>
    <n v="13"/>
    <x v="177"/>
    <s v="MLS"/>
    <x v="5"/>
    <s v="Regular Season"/>
    <s v="Atlanta Utd"/>
    <s v="Home"/>
    <s v="D"/>
    <n v="0"/>
    <n v="0"/>
    <n v="0"/>
    <n v="2.2999999999999998"/>
    <n v="0.8"/>
    <n v="1.4999999999999998"/>
    <n v="1.4999999999999998"/>
    <n v="31"/>
    <x v="0"/>
    <x v="2"/>
    <n v="0"/>
    <x v="5"/>
    <n v="0"/>
    <n v="3510"/>
    <n v="-2.2999999999999998"/>
    <n v="-0.8"/>
  </r>
  <r>
    <s v="14-2023"/>
    <n v="14"/>
    <x v="178"/>
    <s v="MLS"/>
    <x v="5"/>
    <s v="Regular Season"/>
    <s v="Houston Dynamo"/>
    <s v="Away"/>
    <s v="L"/>
    <n v="0"/>
    <n v="4"/>
    <n v="-4"/>
    <n v="0.7"/>
    <n v="2.1"/>
    <n v="-1.4000000000000001"/>
    <n v="2.5999999999999996"/>
    <n v="71"/>
    <x v="0"/>
    <x v="0"/>
    <n v="0"/>
    <x v="5"/>
    <n v="0"/>
    <n v="3510"/>
    <n v="-0.7"/>
    <n v="1.9"/>
  </r>
  <r>
    <s v="15-2023"/>
    <n v="15"/>
    <x v="179"/>
    <s v="MLS"/>
    <x v="5"/>
    <s v="Regular Season"/>
    <s v="Houston Dynamo"/>
    <s v="Home"/>
    <s v="L"/>
    <n v="0"/>
    <n v="1"/>
    <n v="-1"/>
    <n v="0.7"/>
    <n v="0.6"/>
    <n v="9.9999999999999978E-2"/>
    <n v="1.1000000000000001"/>
    <n v="90"/>
    <x v="0"/>
    <x v="0"/>
    <n v="0"/>
    <x v="5"/>
    <n v="0"/>
    <n v="3510"/>
    <n v="-0.7"/>
    <n v="0.4"/>
  </r>
  <r>
    <s v="16-2023"/>
    <n v="16"/>
    <x v="180"/>
    <s v="MLS"/>
    <x v="5"/>
    <s v="Regular Season"/>
    <s v="Sporting KC"/>
    <s v="Away"/>
    <s v="W"/>
    <n v="2"/>
    <n v="1"/>
    <n v="1"/>
    <n v="1.1000000000000001"/>
    <n v="2"/>
    <n v="-0.89999999999999991"/>
    <n v="-1.9"/>
    <n v="45"/>
    <x v="0"/>
    <x v="2"/>
    <n v="1"/>
    <x v="5"/>
    <n v="0"/>
    <n v="3510"/>
    <n v="0.89999999999999991"/>
    <n v="-1"/>
  </r>
  <r>
    <s v="17-2023"/>
    <n v="17"/>
    <x v="181"/>
    <s v="MLS"/>
    <x v="5"/>
    <s v="Regular Season"/>
    <s v="Seattle Sounders"/>
    <s v="Home"/>
    <s v="W"/>
    <n v="1"/>
    <n v="0"/>
    <n v="1"/>
    <n v="1.1000000000000001"/>
    <n v="0.5"/>
    <n v="0.60000000000000009"/>
    <n v="-0.39999999999999991"/>
    <n v="71"/>
    <x v="0"/>
    <x v="0"/>
    <n v="1"/>
    <x v="5"/>
    <n v="0"/>
    <n v="3510"/>
    <n v="-0.10000000000000009"/>
    <n v="-0.5"/>
  </r>
  <r>
    <s v="18-2023"/>
    <n v="18"/>
    <x v="182"/>
    <s v="MLS"/>
    <x v="5"/>
    <s v="Regular Season"/>
    <s v="Vancouver W'caps"/>
    <s v="Home"/>
    <s v="L"/>
    <n v="2"/>
    <n v="3"/>
    <n v="-1"/>
    <n v="2.2000000000000002"/>
    <n v="1.5"/>
    <n v="0.70000000000000018"/>
    <n v="1.7000000000000002"/>
    <n v="90"/>
    <x v="0"/>
    <x v="0"/>
    <n v="0"/>
    <x v="5"/>
    <n v="0"/>
    <n v="3510"/>
    <n v="-0.20000000000000018"/>
    <n v="1.5"/>
  </r>
  <r>
    <s v="19-2023"/>
    <n v="19"/>
    <x v="183"/>
    <s v="MLS"/>
    <x v="5"/>
    <s v="Regular Season"/>
    <s v="FC Dallas"/>
    <s v="Away"/>
    <s v="L"/>
    <n v="0"/>
    <n v="2"/>
    <n v="-2"/>
    <n v="1.1000000000000001"/>
    <n v="1"/>
    <n v="0.10000000000000009"/>
    <n v="2.1"/>
    <n v="25"/>
    <x v="0"/>
    <x v="1"/>
    <n v="0"/>
    <x v="5"/>
    <n v="0"/>
    <n v="3510"/>
    <n v="-1.1000000000000001"/>
    <n v="1"/>
  </r>
  <r>
    <s v="20-2023"/>
    <n v="20"/>
    <x v="184"/>
    <s v="MLS"/>
    <x v="5"/>
    <s v="Regular Season"/>
    <s v="LA Galaxy"/>
    <s v="Away"/>
    <s v="L"/>
    <n v="1"/>
    <n v="2"/>
    <n v="-1"/>
    <n v="1.6"/>
    <n v="1.4"/>
    <n v="0.20000000000000018"/>
    <n v="1.2000000000000002"/>
    <n v="90"/>
    <x v="0"/>
    <x v="0"/>
    <n v="0"/>
    <x v="5"/>
    <n v="0"/>
    <n v="3510"/>
    <n v="-0.60000000000000009"/>
    <n v="0.60000000000000009"/>
  </r>
  <r>
    <s v="21-2023"/>
    <n v="21"/>
    <x v="185"/>
    <s v="MLS"/>
    <x v="5"/>
    <s v="Regular Season"/>
    <s v="SJ Earthquakes"/>
    <s v="Home"/>
    <s v="D"/>
    <n v="1"/>
    <n v="1"/>
    <n v="0"/>
    <n v="1.7"/>
    <n v="0.6"/>
    <n v="1.1000000000000001"/>
    <n v="1.1000000000000001"/>
    <n v="18"/>
    <x v="0"/>
    <x v="1"/>
    <n v="0"/>
    <x v="5"/>
    <n v="0"/>
    <n v="3510"/>
    <n v="-0.7"/>
    <n v="0.4"/>
  </r>
  <r>
    <s v="22-2023"/>
    <n v="22"/>
    <x v="186"/>
    <s v="MLS"/>
    <x v="5"/>
    <s v="Regular Season"/>
    <s v="St. Louis"/>
    <s v="Home"/>
    <s v="W"/>
    <n v="3"/>
    <n v="0"/>
    <n v="3"/>
    <n v="1.6"/>
    <n v="0.3"/>
    <n v="1.3"/>
    <n v="-1.7"/>
    <n v="86"/>
    <x v="0"/>
    <x v="0"/>
    <n v="1"/>
    <x v="5"/>
    <n v="0"/>
    <n v="3510"/>
    <n v="1.4"/>
    <n v="-0.3"/>
  </r>
  <r>
    <s v="23-2023"/>
    <n v="23"/>
    <x v="187"/>
    <s v="MLS"/>
    <x v="5"/>
    <s v="Regular Season"/>
    <s v="Minnesota Utd"/>
    <s v="Away"/>
    <s v="D"/>
    <n v="1"/>
    <n v="1"/>
    <n v="0"/>
    <n v="0.9"/>
    <n v="2"/>
    <n v="-1.1000000000000001"/>
    <n v="-1.1000000000000001"/>
    <n v="60"/>
    <x v="0"/>
    <x v="2"/>
    <n v="0"/>
    <x v="5"/>
    <n v="0"/>
    <n v="3510"/>
    <n v="9.9999999999999978E-2"/>
    <n v="-1"/>
  </r>
  <r>
    <s v="24-2023"/>
    <n v="24"/>
    <x v="188"/>
    <s v="MLS"/>
    <x v="5"/>
    <s v="Regular Season"/>
    <s v="Colorado Rapids"/>
    <s v="Home"/>
    <s v="W"/>
    <n v="4"/>
    <n v="0"/>
    <n v="4"/>
    <n v="2.8"/>
    <n v="0.6"/>
    <n v="2.1999999999999997"/>
    <n v="-1.8000000000000003"/>
    <n v="64"/>
    <x v="0"/>
    <x v="2"/>
    <n v="1"/>
    <x v="5"/>
    <n v="0"/>
    <n v="3510"/>
    <n v="1.2000000000000002"/>
    <n v="-0.6"/>
  </r>
  <r>
    <s v="25-2023"/>
    <n v="25"/>
    <x v="189"/>
    <s v="MLS"/>
    <x v="5"/>
    <s v="Regular Season"/>
    <s v="Charlotte"/>
    <s v="Away"/>
    <s v="L"/>
    <n v="1"/>
    <n v="2"/>
    <n v="-1"/>
    <n v="2.2999999999999998"/>
    <n v="1.8"/>
    <n v="0.49999999999999978"/>
    <n v="1.4999999999999998"/>
    <n v="63"/>
    <x v="0"/>
    <x v="2"/>
    <n v="0"/>
    <x v="5"/>
    <n v="0"/>
    <n v="3510"/>
    <n v="-1.2999999999999998"/>
    <n v="0.19999999999999996"/>
  </r>
  <r>
    <s v="26-2023"/>
    <n v="26"/>
    <x v="190"/>
    <s v="MLS"/>
    <x v="5"/>
    <s v="Regular Season"/>
    <s v="Inter Miami"/>
    <s v="Home"/>
    <s v="L"/>
    <n v="1"/>
    <n v="3"/>
    <n v="-2"/>
    <n v="2.2999999999999998"/>
    <n v="2.1"/>
    <n v="0.19999999999999973"/>
    <n v="2.1999999999999997"/>
    <n v="90"/>
    <x v="0"/>
    <x v="0"/>
    <n v="0"/>
    <x v="5"/>
    <n v="0"/>
    <n v="3510"/>
    <n v="-1.2999999999999998"/>
    <n v="0.89999999999999991"/>
  </r>
  <r>
    <s v="27-2023"/>
    <n v="27"/>
    <x v="191"/>
    <s v="MLS"/>
    <x v="5"/>
    <s v="Regular Season"/>
    <s v="Portland Timbers"/>
    <s v="Away"/>
    <s v="L"/>
    <n v="0"/>
    <n v="2"/>
    <n v="-2"/>
    <n v="1.1000000000000001"/>
    <n v="2.2000000000000002"/>
    <n v="-1.1000000000000001"/>
    <n v="0.89999999999999991"/>
    <n v="90"/>
    <x v="0"/>
    <x v="0"/>
    <n v="0"/>
    <x v="5"/>
    <n v="0"/>
    <n v="3510"/>
    <n v="-1.1000000000000001"/>
    <n v="-0.20000000000000018"/>
  </r>
  <r>
    <s v="28-2023"/>
    <n v="28"/>
    <x v="192"/>
    <s v="MLS"/>
    <x v="5"/>
    <s v="Regular Season"/>
    <s v="LA Galaxy"/>
    <s v="Home"/>
    <s v="W"/>
    <n v="4"/>
    <n v="2"/>
    <n v="2"/>
    <n v="1.5"/>
    <n v="0.8"/>
    <n v="0.7"/>
    <n v="-1.3"/>
    <n v="77"/>
    <x v="0"/>
    <x v="0"/>
    <n v="1"/>
    <x v="5"/>
    <n v="0"/>
    <n v="3510"/>
    <n v="2.5"/>
    <n v="1.2"/>
  </r>
  <r>
    <s v="29-2023"/>
    <n v="29"/>
    <x v="193"/>
    <s v="MLS"/>
    <x v="5"/>
    <s v="Regular Season"/>
    <s v="St. Louis"/>
    <s v="Away"/>
    <s v="D"/>
    <n v="0"/>
    <n v="0"/>
    <n v="0"/>
    <n v="0.7"/>
    <n v="0.6"/>
    <n v="9.9999999999999978E-2"/>
    <n v="9.9999999999999978E-2"/>
    <n v="30"/>
    <x v="0"/>
    <x v="1"/>
    <n v="0"/>
    <x v="5"/>
    <n v="0"/>
    <n v="3510"/>
    <n v="-0.7"/>
    <n v="-0.6"/>
  </r>
  <r>
    <s v="30-2023"/>
    <n v="30"/>
    <x v="194"/>
    <s v="MLS"/>
    <x v="5"/>
    <s v="Regular Season"/>
    <s v="Philadelphia Union"/>
    <s v="Away"/>
    <s v="D"/>
    <n v="0"/>
    <n v="0"/>
    <n v="0"/>
    <n v="0"/>
    <n v="0.3"/>
    <n v="-0.3"/>
    <n v="-0.3"/>
    <n v="19"/>
    <x v="0"/>
    <x v="1"/>
    <n v="0"/>
    <x v="5"/>
    <n v="0"/>
    <n v="3510"/>
    <n v="0"/>
    <n v="-0.3"/>
  </r>
  <r>
    <s v="31-2023"/>
    <n v="31"/>
    <x v="195"/>
    <s v="MLS"/>
    <x v="5"/>
    <s v="Regular Season"/>
    <s v="Real Salt Lake"/>
    <s v="Home"/>
    <s v="L"/>
    <n v="0"/>
    <n v="1"/>
    <n v="-1"/>
    <n v="1.2"/>
    <n v="0.5"/>
    <n v="0.7"/>
    <n v="1.7"/>
    <n v="90"/>
    <x v="0"/>
    <x v="0"/>
    <n v="0"/>
    <x v="5"/>
    <n v="0"/>
    <n v="3510"/>
    <n v="-1.2"/>
    <n v="0.5"/>
  </r>
  <r>
    <s v="32-2023"/>
    <n v="32"/>
    <x v="196"/>
    <s v="MLS"/>
    <x v="5"/>
    <s v="Regular Season"/>
    <s v="Minnesota Utd"/>
    <s v="Home"/>
    <s v="W"/>
    <n v="5"/>
    <n v="1"/>
    <n v="4"/>
    <n v="3.7"/>
    <n v="1.6"/>
    <n v="2.1"/>
    <n v="-1.9"/>
    <n v="68"/>
    <x v="0"/>
    <x v="2"/>
    <n v="1"/>
    <x v="5"/>
    <n v="0"/>
    <n v="3510"/>
    <n v="1.2999999999999998"/>
    <n v="-0.60000000000000009"/>
  </r>
  <r>
    <s v="33-2023"/>
    <n v="33"/>
    <x v="197"/>
    <s v="MLS"/>
    <x v="5"/>
    <s v="Regular Season"/>
    <s v="Austin"/>
    <s v="Away"/>
    <s v="W"/>
    <n v="4"/>
    <n v="2"/>
    <n v="2"/>
    <n v="3"/>
    <n v="0.4"/>
    <n v="2.6"/>
    <n v="0.60000000000000009"/>
    <n v="29"/>
    <x v="0"/>
    <x v="1"/>
    <n v="1"/>
    <x v="5"/>
    <n v="0"/>
    <n v="3510"/>
    <n v="1"/>
    <n v="1.6"/>
  </r>
  <r>
    <s v="34-2023"/>
    <n v="34"/>
    <x v="198"/>
    <s v="MLS"/>
    <x v="5"/>
    <s v="Regular Season"/>
    <s v="Vancouver W'caps"/>
    <s v="Away"/>
    <s v="D"/>
    <n v="1"/>
    <n v="1"/>
    <n v="0"/>
    <n v="1.6"/>
    <n v="2"/>
    <n v="-0.39999999999999991"/>
    <n v="-0.39999999999999991"/>
    <n v="85"/>
    <x v="0"/>
    <x v="0"/>
    <n v="0"/>
    <x v="5"/>
    <n v="0"/>
    <n v="3510"/>
    <n v="-0.60000000000000009"/>
    <n v="-1"/>
  </r>
  <r>
    <s v="35-2023"/>
    <n v="35"/>
    <x v="199"/>
    <s v="MLS"/>
    <x v="5"/>
    <s v="Round One"/>
    <s v="Vancouver W'caps"/>
    <s v="Home"/>
    <s v="W"/>
    <n v="5"/>
    <n v="2"/>
    <n v="3"/>
    <n v="1.3"/>
    <n v="0.5"/>
    <n v="0.8"/>
    <n v="-2.2000000000000002"/>
    <n v="71"/>
    <x v="0"/>
    <x v="0"/>
    <n v="1"/>
    <x v="5"/>
    <n v="0"/>
    <n v="3510"/>
    <n v="3.7"/>
    <n v="1.5"/>
  </r>
  <r>
    <s v="36-2023"/>
    <n v="36"/>
    <x v="200"/>
    <s v="MLS"/>
    <x v="5"/>
    <s v="Round One"/>
    <s v="Vancouver W'caps"/>
    <s v="Away"/>
    <s v="W"/>
    <n v="1"/>
    <n v="0"/>
    <n v="1"/>
    <n v="1.3"/>
    <n v="1"/>
    <n v="0.30000000000000004"/>
    <n v="-0.7"/>
    <n v="4"/>
    <x v="0"/>
    <x v="1"/>
    <n v="1"/>
    <x v="5"/>
    <n v="0"/>
    <n v="3510"/>
    <n v="-0.30000000000000004"/>
    <n v="-1"/>
  </r>
  <r>
    <s v="37-2023"/>
    <n v="37"/>
    <x v="201"/>
    <s v="MLS"/>
    <x v="5"/>
    <s v="Conference Semifinals"/>
    <s v="Seattle Sounders"/>
    <s v="Away"/>
    <s v="W"/>
    <n v="1"/>
    <n v="0"/>
    <n v="1"/>
    <n v="0.4"/>
    <n v="1.3"/>
    <n v="-0.9"/>
    <n v="-1.9"/>
    <n v="78"/>
    <x v="0"/>
    <x v="0"/>
    <n v="1"/>
    <x v="5"/>
    <n v="0"/>
    <n v="3510"/>
    <n v="0.6"/>
    <n v="-1.3"/>
  </r>
  <r>
    <s v="38-2023"/>
    <n v="38"/>
    <x v="202"/>
    <s v="MLS"/>
    <x v="5"/>
    <s v="Conference Finals"/>
    <s v="Houston Dynamo"/>
    <s v="Home"/>
    <s v="W"/>
    <n v="2"/>
    <n v="0"/>
    <n v="2"/>
    <n v="1.8"/>
    <n v="0.5"/>
    <n v="1.3"/>
    <n v="-0.7"/>
    <n v="77"/>
    <x v="0"/>
    <x v="0"/>
    <n v="1"/>
    <x v="5"/>
    <n v="0"/>
    <n v="3510"/>
    <n v="0.19999999999999996"/>
    <n v="-0.5"/>
  </r>
  <r>
    <s v="39-2023"/>
    <n v="39"/>
    <x v="203"/>
    <s v="MLS"/>
    <x v="5"/>
    <s v="MLS Cup"/>
    <s v="Columbus Crew"/>
    <s v="Away"/>
    <s v="L"/>
    <n v="1"/>
    <n v="2"/>
    <n v="-1"/>
    <n v="0.8"/>
    <n v="2"/>
    <n v="-1.2"/>
    <n v="-0.19999999999999996"/>
    <n v="90"/>
    <x v="0"/>
    <x v="0"/>
    <n v="0"/>
    <x v="5"/>
    <n v="0"/>
    <n v="3510"/>
    <n v="0.19999999999999996"/>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5B09FE-663F-1548-ACBA-9787851C7201}" name="PivotTable1" cacheId="1" dataPosition="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A39:C41" firstHeaderRow="0" firstDataRow="1" firstDataCol="1" rowPageCount="1" colPageCount="1"/>
  <pivotFields count="30">
    <pivotField showAll="0" defaultSubtotal="0"/>
    <pivotField showAll="0" defaultSubtotal="0"/>
    <pivotField numFmtId="14" showAll="0" defaultSubtota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s>
    </pivotField>
    <pivotField showAll="0" defaultSubtotal="0"/>
    <pivotField axis="axisPage" multipleItemSelectionAllowed="1" showAll="0" defaultSubtotal="0">
      <items count="6">
        <item h="1" x="0"/>
        <item h="1" x="1"/>
        <item h="1" x="2"/>
        <item x="3"/>
        <item h="1" x="4"/>
        <item h="1" x="5"/>
      </items>
    </pivotField>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dataField="1" showAll="0" defaultSubtotal="0"/>
    <pivotField showAll="0" defaultSubtotal="0"/>
    <pivotField showAll="0" defaultSubtotal="0"/>
    <pivotField axis="axisRow" showAll="0" defaultSubtotal="0">
      <items count="2">
        <item x="1"/>
        <item x="0"/>
      </items>
    </pivotField>
    <pivotField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howAll="0" defaultSubtotal="0"/>
    <pivotField showAll="0" defaultSubtotal="0"/>
    <pivotField showAll="0" defaultSubtotal="0">
      <items count="8">
        <item x="0"/>
        <item x="1"/>
        <item x="2"/>
        <item x="3"/>
        <item x="4"/>
        <item x="5"/>
        <item x="6"/>
        <item x="7"/>
      </items>
    </pivotField>
    <pivotField subtotalTop="0" dragToRow="0" dragToCol="0" dragToPage="0" showAll="0" defaultSubtotal="0"/>
    <pivotField subtotalTop="0" dragToRow="0" dragToCol="0" dragToPage="0" showAll="0" defaultSubtotal="0"/>
  </pivotFields>
  <rowFields count="1">
    <field x="17"/>
  </rowFields>
  <rowItems count="2">
    <i>
      <x/>
    </i>
    <i>
      <x v="1"/>
    </i>
  </rowItems>
  <colFields count="1">
    <field x="-2"/>
  </colFields>
  <colItems count="2">
    <i>
      <x/>
    </i>
    <i i="1">
      <x v="1"/>
    </i>
  </colItems>
  <pageFields count="1">
    <pageField fld="4" hier="-1"/>
  </pageFields>
  <dataFields count="2">
    <dataField name="Average of xGD" fld="14" subtotal="average" baseField="0" baseItem="0" numFmtId="2"/>
    <dataField name="Average of GD" fld="11" subtotal="average" baseField="0" baseItem="0" numFmtId="2"/>
  </dataFields>
  <chartFormats count="6">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8" format="10">
      <pivotArea type="data" outline="0" fieldPosition="0">
        <references count="2">
          <reference field="4294967294" count="1" selected="0">
            <x v="0"/>
          </reference>
          <reference field="17" count="1" selected="0">
            <x v="0"/>
          </reference>
        </references>
      </pivotArea>
    </chartFormat>
    <chartFormat chart="8" format="11">
      <pivotArea type="data" outline="0" fieldPosition="0">
        <references count="2">
          <reference field="4294967294" count="1" selected="0">
            <x v="1"/>
          </reference>
          <reference field="17" count="1" selected="0">
            <x v="0"/>
          </reference>
        </references>
      </pivotArea>
    </chartFormat>
    <chartFormat chart="8" format="12">
      <pivotArea type="data" outline="0" fieldPosition="0">
        <references count="2">
          <reference field="4294967294" count="1" selected="0">
            <x v="0"/>
          </reference>
          <reference field="17" count="1" selected="0">
            <x v="1"/>
          </reference>
        </references>
      </pivotArea>
    </chartFormat>
    <chartFormat chart="8" format="13">
      <pivotArea type="data" outline="0" fieldPosition="0">
        <references count="2">
          <reference field="4294967294"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868689-4D5D-284E-8514-7B1EC07FA9B3}" name="VelaGD-xGD202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6:D14" firstHeaderRow="1" firstDataRow="3" firstDataCol="1"/>
  <pivotFields count="30">
    <pivotField showAll="0" defaultSubtotal="0"/>
    <pivotField showAll="0" defaultSubtotal="0"/>
    <pivotField numFmtId="14" showAll="0" defaultSubtota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dataField="1" showAll="0" defaultSubtotal="0"/>
    <pivotField subtotalTop="0" showAll="0" defaultSubtotal="0"/>
    <pivotField showAll="0" defaultSubtotal="0"/>
    <pivotField axis="axisCol" showAll="0" defaultSubtotal="0">
      <items count="2">
        <item h="1" x="1"/>
        <item x="0"/>
      </items>
    </pivotField>
    <pivotField showAll="0" defaultSubtotal="0"/>
    <pivotField showAll="0" defaultSubtotal="0"/>
    <pivotField axis="axisRow" subtotalTop="0" showAll="0" defaultSubtotal="0">
      <items count="12">
        <item m="1" x="6"/>
        <item m="1" x="7"/>
        <item m="1" x="8"/>
        <item m="1" x="9"/>
        <item m="1" x="10"/>
        <item m="1" x="11"/>
        <item x="0"/>
        <item x="1"/>
        <item x="2"/>
        <item x="3"/>
        <item x="4"/>
        <item x="5"/>
      </items>
    </pivotField>
    <pivotField dataField="1" subtotalTop="0" showAll="0" defaultSubtotal="0"/>
    <pivotField subtotalTop="0" showAll="0" defaultSubtotal="0"/>
    <pivotField subtotalTop="0" showAll="0" defaultSubtotal="0"/>
    <pivotField subtotalTop="0" showAll="0" defaultSubtotal="0"/>
    <pivotField showAll="0" defaultSubtotal="0"/>
    <pivotField showAll="0" defaultSubtotal="0"/>
    <pivotField showAll="0" defaultSubtotal="0">
      <items count="8">
        <item x="0"/>
        <item x="1"/>
        <item x="2"/>
        <item x="3"/>
        <item x="4"/>
        <item x="5"/>
        <item x="6"/>
        <item x="7"/>
      </items>
    </pivotField>
    <pivotField subtotalTop="0" dragToRow="0" dragToCol="0" dragToPage="0" showAll="0" defaultSubtotal="0"/>
    <pivotField subtotalTop="0" dragToRow="0" dragToCol="0" dragToPage="0" showAll="0" defaultSubtotal="0"/>
  </pivotFields>
  <rowFields count="1">
    <field x="20"/>
  </rowFields>
  <rowItems count="6">
    <i>
      <x v="6"/>
    </i>
    <i>
      <x v="7"/>
    </i>
    <i>
      <x v="8"/>
    </i>
    <i>
      <x v="9"/>
    </i>
    <i>
      <x v="10"/>
    </i>
    <i>
      <x v="11"/>
    </i>
  </rowItems>
  <colFields count="2">
    <field x="17"/>
    <field x="-2"/>
  </colFields>
  <colItems count="3">
    <i>
      <x v="1"/>
      <x/>
    </i>
    <i r="1" i="1">
      <x v="1"/>
    </i>
    <i r="1" i="2">
      <x v="2"/>
    </i>
  </colItems>
  <dataFields count="3">
    <dataField name="Average of xGD" fld="14" subtotal="average" baseField="0" baseItem="0" numFmtId="2"/>
    <dataField name="Average of GD" fld="11" subtotal="average" baseField="0" baseItem="0" numFmtId="2"/>
    <dataField name="Average of Zero_Line_Helper" fld="21" subtotal="average" baseField="0" baseItem="0"/>
  </dataFields>
  <chartFormats count="59">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7" count="1" selected="0">
            <x v="1"/>
          </reference>
        </references>
      </pivotArea>
    </chartFormat>
    <chartFormat chart="0" format="4" series="1">
      <pivotArea type="data" outline="0" fieldPosition="0">
        <references count="2">
          <reference field="4294967294" count="1" selected="0">
            <x v="1"/>
          </reference>
          <reference field="17" count="1" selected="0">
            <x v="1"/>
          </reference>
        </references>
      </pivotArea>
    </chartFormat>
    <chartFormat chart="0" format="5" series="1">
      <pivotArea type="data" outline="0" fieldPosition="0">
        <references count="2">
          <reference field="4294967294" count="1" selected="0">
            <x v="1"/>
          </reference>
          <reference field="17" count="1" selected="0">
            <x v="0"/>
          </reference>
        </references>
      </pivotArea>
    </chartFormat>
    <chartFormat chart="0" format="6" series="1">
      <pivotArea type="data" outline="0" fieldPosition="0">
        <references count="2">
          <reference field="4294967294" count="1" selected="0">
            <x v="2"/>
          </reference>
          <reference field="17" count="1" selected="0">
            <x v="1"/>
          </reference>
        </references>
      </pivotArea>
    </chartFormat>
    <chartFormat chart="0" format="7">
      <pivotArea type="data" outline="0" fieldPosition="0">
        <references count="3">
          <reference field="4294967294" count="1" selected="0">
            <x v="1"/>
          </reference>
          <reference field="17" count="1" selected="0">
            <x v="1"/>
          </reference>
          <reference field="20" count="1" selected="0">
            <x v="5"/>
          </reference>
        </references>
      </pivotArea>
    </chartFormat>
    <chartFormat chart="0" format="8">
      <pivotArea type="data" outline="0" fieldPosition="0">
        <references count="3">
          <reference field="4294967294" count="1" selected="0">
            <x v="1"/>
          </reference>
          <reference field="17" count="1" selected="0">
            <x v="1"/>
          </reference>
          <reference field="20" count="1" selected="0">
            <x v="0"/>
          </reference>
        </references>
      </pivotArea>
    </chartFormat>
    <chartFormat chart="0" format="9">
      <pivotArea type="data" outline="0" fieldPosition="0">
        <references count="3">
          <reference field="4294967294" count="1" selected="0">
            <x v="1"/>
          </reference>
          <reference field="17" count="1" selected="0">
            <x v="1"/>
          </reference>
          <reference field="20" count="1" selected="0">
            <x v="1"/>
          </reference>
        </references>
      </pivotArea>
    </chartFormat>
    <chartFormat chart="0" format="10">
      <pivotArea type="data" outline="0" fieldPosition="0">
        <references count="3">
          <reference field="4294967294" count="1" selected="0">
            <x v="1"/>
          </reference>
          <reference field="17" count="1" selected="0">
            <x v="1"/>
          </reference>
          <reference field="20" count="1" selected="0">
            <x v="2"/>
          </reference>
        </references>
      </pivotArea>
    </chartFormat>
    <chartFormat chart="0" format="11">
      <pivotArea type="data" outline="0" fieldPosition="0">
        <references count="3">
          <reference field="4294967294" count="1" selected="0">
            <x v="1"/>
          </reference>
          <reference field="17" count="1" selected="0">
            <x v="1"/>
          </reference>
          <reference field="20" count="1" selected="0">
            <x v="4"/>
          </reference>
        </references>
      </pivotArea>
    </chartFormat>
    <chartFormat chart="0" format="12">
      <pivotArea type="data" outline="0" fieldPosition="0">
        <references count="3">
          <reference field="4294967294" count="1" selected="0">
            <x v="1"/>
          </reference>
          <reference field="17" count="1" selected="0">
            <x v="1"/>
          </reference>
          <reference field="20" count="1" selected="0">
            <x v="3"/>
          </reference>
        </references>
      </pivotArea>
    </chartFormat>
    <chartFormat chart="0" format="13">
      <pivotArea type="data" outline="0" fieldPosition="0">
        <references count="3">
          <reference field="4294967294" count="1" selected="0">
            <x v="0"/>
          </reference>
          <reference field="17" count="1" selected="0">
            <x v="1"/>
          </reference>
          <reference field="20" count="1" selected="0">
            <x v="0"/>
          </reference>
        </references>
      </pivotArea>
    </chartFormat>
    <chartFormat chart="0" format="14">
      <pivotArea type="data" outline="0" fieldPosition="0">
        <references count="3">
          <reference field="4294967294" count="1" selected="0">
            <x v="0"/>
          </reference>
          <reference field="17" count="1" selected="0">
            <x v="1"/>
          </reference>
          <reference field="20" count="1" selected="0">
            <x v="1"/>
          </reference>
        </references>
      </pivotArea>
    </chartFormat>
    <chartFormat chart="0" format="15">
      <pivotArea type="data" outline="0" fieldPosition="0">
        <references count="3">
          <reference field="4294967294" count="1" selected="0">
            <x v="0"/>
          </reference>
          <reference field="17" count="1" selected="0">
            <x v="1"/>
          </reference>
          <reference field="20" count="1" selected="0">
            <x v="2"/>
          </reference>
        </references>
      </pivotArea>
    </chartFormat>
    <chartFormat chart="0" format="16">
      <pivotArea type="data" outline="0" fieldPosition="0">
        <references count="3">
          <reference field="4294967294" count="1" selected="0">
            <x v="0"/>
          </reference>
          <reference field="17" count="1" selected="0">
            <x v="1"/>
          </reference>
          <reference field="20" count="1" selected="0">
            <x v="3"/>
          </reference>
        </references>
      </pivotArea>
    </chartFormat>
    <chartFormat chart="0" format="17">
      <pivotArea type="data" outline="0" fieldPosition="0">
        <references count="3">
          <reference field="4294967294" count="1" selected="0">
            <x v="0"/>
          </reference>
          <reference field="17" count="1" selected="0">
            <x v="1"/>
          </reference>
          <reference field="20" count="1" selected="0">
            <x v="4"/>
          </reference>
        </references>
      </pivotArea>
    </chartFormat>
    <chartFormat chart="0" format="18">
      <pivotArea type="data" outline="0" fieldPosition="0">
        <references count="3">
          <reference field="4294967294" count="1" selected="0">
            <x v="0"/>
          </reference>
          <reference field="17" count="1" selected="0">
            <x v="1"/>
          </reference>
          <reference field="20" count="1" selected="0">
            <x v="5"/>
          </reference>
        </references>
      </pivotArea>
    </chartFormat>
    <chartFormat chart="4" format="19" series="1">
      <pivotArea type="data" outline="0" fieldPosition="0">
        <references count="2">
          <reference field="4294967294" count="1" selected="0">
            <x v="0"/>
          </reference>
          <reference field="17" count="1" selected="0">
            <x v="1"/>
          </reference>
        </references>
      </pivotArea>
    </chartFormat>
    <chartFormat chart="4" format="20">
      <pivotArea type="data" outline="0" fieldPosition="0">
        <references count="3">
          <reference field="4294967294" count="1" selected="0">
            <x v="0"/>
          </reference>
          <reference field="17" count="1" selected="0">
            <x v="1"/>
          </reference>
          <reference field="20" count="1" selected="0">
            <x v="0"/>
          </reference>
        </references>
      </pivotArea>
    </chartFormat>
    <chartFormat chart="4" format="21">
      <pivotArea type="data" outline="0" fieldPosition="0">
        <references count="3">
          <reference field="4294967294" count="1" selected="0">
            <x v="0"/>
          </reference>
          <reference field="17" count="1" selected="0">
            <x v="1"/>
          </reference>
          <reference field="20" count="1" selected="0">
            <x v="1"/>
          </reference>
        </references>
      </pivotArea>
    </chartFormat>
    <chartFormat chart="4" format="22">
      <pivotArea type="data" outline="0" fieldPosition="0">
        <references count="3">
          <reference field="4294967294" count="1" selected="0">
            <x v="0"/>
          </reference>
          <reference field="17" count="1" selected="0">
            <x v="1"/>
          </reference>
          <reference field="20" count="1" selected="0">
            <x v="2"/>
          </reference>
        </references>
      </pivotArea>
    </chartFormat>
    <chartFormat chart="4" format="23">
      <pivotArea type="data" outline="0" fieldPosition="0">
        <references count="3">
          <reference field="4294967294" count="1" selected="0">
            <x v="0"/>
          </reference>
          <reference field="17" count="1" selected="0">
            <x v="1"/>
          </reference>
          <reference field="20" count="1" selected="0">
            <x v="3"/>
          </reference>
        </references>
      </pivotArea>
    </chartFormat>
    <chartFormat chart="4" format="24">
      <pivotArea type="data" outline="0" fieldPosition="0">
        <references count="3">
          <reference field="4294967294" count="1" selected="0">
            <x v="0"/>
          </reference>
          <reference field="17" count="1" selected="0">
            <x v="1"/>
          </reference>
          <reference field="20" count="1" selected="0">
            <x v="4"/>
          </reference>
        </references>
      </pivotArea>
    </chartFormat>
    <chartFormat chart="4" format="25">
      <pivotArea type="data" outline="0" fieldPosition="0">
        <references count="3">
          <reference field="4294967294" count="1" selected="0">
            <x v="0"/>
          </reference>
          <reference field="17" count="1" selected="0">
            <x v="1"/>
          </reference>
          <reference field="20" count="1" selected="0">
            <x v="5"/>
          </reference>
        </references>
      </pivotArea>
    </chartFormat>
    <chartFormat chart="4" format="26" series="1">
      <pivotArea type="data" outline="0" fieldPosition="0">
        <references count="2">
          <reference field="4294967294" count="1" selected="0">
            <x v="1"/>
          </reference>
          <reference field="17" count="1" selected="0">
            <x v="1"/>
          </reference>
        </references>
      </pivotArea>
    </chartFormat>
    <chartFormat chart="4" format="27">
      <pivotArea type="data" outline="0" fieldPosition="0">
        <references count="3">
          <reference field="4294967294" count="1" selected="0">
            <x v="1"/>
          </reference>
          <reference field="17" count="1" selected="0">
            <x v="1"/>
          </reference>
          <reference field="20" count="1" selected="0">
            <x v="0"/>
          </reference>
        </references>
      </pivotArea>
    </chartFormat>
    <chartFormat chart="4" format="28">
      <pivotArea type="data" outline="0" fieldPosition="0">
        <references count="3">
          <reference field="4294967294" count="1" selected="0">
            <x v="1"/>
          </reference>
          <reference field="17" count="1" selected="0">
            <x v="1"/>
          </reference>
          <reference field="20" count="1" selected="0">
            <x v="1"/>
          </reference>
        </references>
      </pivotArea>
    </chartFormat>
    <chartFormat chart="4" format="29">
      <pivotArea type="data" outline="0" fieldPosition="0">
        <references count="3">
          <reference field="4294967294" count="1" selected="0">
            <x v="1"/>
          </reference>
          <reference field="17" count="1" selected="0">
            <x v="1"/>
          </reference>
          <reference field="20" count="1" selected="0">
            <x v="2"/>
          </reference>
        </references>
      </pivotArea>
    </chartFormat>
    <chartFormat chart="4" format="30">
      <pivotArea type="data" outline="0" fieldPosition="0">
        <references count="3">
          <reference field="4294967294" count="1" selected="0">
            <x v="1"/>
          </reference>
          <reference field="17" count="1" selected="0">
            <x v="1"/>
          </reference>
          <reference field="20" count="1" selected="0">
            <x v="3"/>
          </reference>
        </references>
      </pivotArea>
    </chartFormat>
    <chartFormat chart="4" format="31">
      <pivotArea type="data" outline="0" fieldPosition="0">
        <references count="3">
          <reference field="4294967294" count="1" selected="0">
            <x v="1"/>
          </reference>
          <reference field="17" count="1" selected="0">
            <x v="1"/>
          </reference>
          <reference field="20" count="1" selected="0">
            <x v="4"/>
          </reference>
        </references>
      </pivotArea>
    </chartFormat>
    <chartFormat chart="4" format="32">
      <pivotArea type="data" outline="0" fieldPosition="0">
        <references count="3">
          <reference field="4294967294" count="1" selected="0">
            <x v="1"/>
          </reference>
          <reference field="17" count="1" selected="0">
            <x v="1"/>
          </reference>
          <reference field="20" count="1" selected="0">
            <x v="5"/>
          </reference>
        </references>
      </pivotArea>
    </chartFormat>
    <chartFormat chart="4" format="33" series="1">
      <pivotArea type="data" outline="0" fieldPosition="0">
        <references count="2">
          <reference field="4294967294" count="1" selected="0">
            <x v="2"/>
          </reference>
          <reference field="17" count="1" selected="0">
            <x v="1"/>
          </reference>
        </references>
      </pivotArea>
    </chartFormat>
    <chartFormat chart="6" format="19" series="1">
      <pivotArea type="data" outline="0" fieldPosition="0">
        <references count="2">
          <reference field="4294967294" count="1" selected="0">
            <x v="0"/>
          </reference>
          <reference field="17" count="1" selected="0">
            <x v="1"/>
          </reference>
        </references>
      </pivotArea>
    </chartFormat>
    <chartFormat chart="6" format="20">
      <pivotArea type="data" outline="0" fieldPosition="0">
        <references count="3">
          <reference field="4294967294" count="1" selected="0">
            <x v="0"/>
          </reference>
          <reference field="17" count="1" selected="0">
            <x v="1"/>
          </reference>
          <reference field="20" count="1" selected="0">
            <x v="0"/>
          </reference>
        </references>
      </pivotArea>
    </chartFormat>
    <chartFormat chart="6" format="21">
      <pivotArea type="data" outline="0" fieldPosition="0">
        <references count="3">
          <reference field="4294967294" count="1" selected="0">
            <x v="0"/>
          </reference>
          <reference field="17" count="1" selected="0">
            <x v="1"/>
          </reference>
          <reference field="20" count="1" selected="0">
            <x v="1"/>
          </reference>
        </references>
      </pivotArea>
    </chartFormat>
    <chartFormat chart="6" format="22">
      <pivotArea type="data" outline="0" fieldPosition="0">
        <references count="3">
          <reference field="4294967294" count="1" selected="0">
            <x v="0"/>
          </reference>
          <reference field="17" count="1" selected="0">
            <x v="1"/>
          </reference>
          <reference field="20" count="1" selected="0">
            <x v="2"/>
          </reference>
        </references>
      </pivotArea>
    </chartFormat>
    <chartFormat chart="6" format="23">
      <pivotArea type="data" outline="0" fieldPosition="0">
        <references count="3">
          <reference field="4294967294" count="1" selected="0">
            <x v="0"/>
          </reference>
          <reference field="17" count="1" selected="0">
            <x v="1"/>
          </reference>
          <reference field="20" count="1" selected="0">
            <x v="3"/>
          </reference>
        </references>
      </pivotArea>
    </chartFormat>
    <chartFormat chart="6" format="24">
      <pivotArea type="data" outline="0" fieldPosition="0">
        <references count="3">
          <reference field="4294967294" count="1" selected="0">
            <x v="0"/>
          </reference>
          <reference field="17" count="1" selected="0">
            <x v="1"/>
          </reference>
          <reference field="20" count="1" selected="0">
            <x v="4"/>
          </reference>
        </references>
      </pivotArea>
    </chartFormat>
    <chartFormat chart="6" format="25">
      <pivotArea type="data" outline="0" fieldPosition="0">
        <references count="3">
          <reference field="4294967294" count="1" selected="0">
            <x v="0"/>
          </reference>
          <reference field="17" count="1" selected="0">
            <x v="1"/>
          </reference>
          <reference field="20" count="1" selected="0">
            <x v="5"/>
          </reference>
        </references>
      </pivotArea>
    </chartFormat>
    <chartFormat chart="6" format="26" series="1">
      <pivotArea type="data" outline="0" fieldPosition="0">
        <references count="2">
          <reference field="4294967294" count="1" selected="0">
            <x v="1"/>
          </reference>
          <reference field="17" count="1" selected="0">
            <x v="1"/>
          </reference>
        </references>
      </pivotArea>
    </chartFormat>
    <chartFormat chart="6" format="27">
      <pivotArea type="data" outline="0" fieldPosition="0">
        <references count="3">
          <reference field="4294967294" count="1" selected="0">
            <x v="1"/>
          </reference>
          <reference field="17" count="1" selected="0">
            <x v="1"/>
          </reference>
          <reference field="20" count="1" selected="0">
            <x v="0"/>
          </reference>
        </references>
      </pivotArea>
    </chartFormat>
    <chartFormat chart="6" format="28">
      <pivotArea type="data" outline="0" fieldPosition="0">
        <references count="3">
          <reference field="4294967294" count="1" selected="0">
            <x v="1"/>
          </reference>
          <reference field="17" count="1" selected="0">
            <x v="1"/>
          </reference>
          <reference field="20" count="1" selected="0">
            <x v="1"/>
          </reference>
        </references>
      </pivotArea>
    </chartFormat>
    <chartFormat chart="6" format="29">
      <pivotArea type="data" outline="0" fieldPosition="0">
        <references count="3">
          <reference field="4294967294" count="1" selected="0">
            <x v="1"/>
          </reference>
          <reference field="17" count="1" selected="0">
            <x v="1"/>
          </reference>
          <reference field="20" count="1" selected="0">
            <x v="2"/>
          </reference>
        </references>
      </pivotArea>
    </chartFormat>
    <chartFormat chart="6" format="30">
      <pivotArea type="data" outline="0" fieldPosition="0">
        <references count="3">
          <reference field="4294967294" count="1" selected="0">
            <x v="1"/>
          </reference>
          <reference field="17" count="1" selected="0">
            <x v="1"/>
          </reference>
          <reference field="20" count="1" selected="0">
            <x v="3"/>
          </reference>
        </references>
      </pivotArea>
    </chartFormat>
    <chartFormat chart="6" format="31">
      <pivotArea type="data" outline="0" fieldPosition="0">
        <references count="3">
          <reference field="4294967294" count="1" selected="0">
            <x v="1"/>
          </reference>
          <reference field="17" count="1" selected="0">
            <x v="1"/>
          </reference>
          <reference field="20" count="1" selected="0">
            <x v="4"/>
          </reference>
        </references>
      </pivotArea>
    </chartFormat>
    <chartFormat chart="6" format="32">
      <pivotArea type="data" outline="0" fieldPosition="0">
        <references count="3">
          <reference field="4294967294" count="1" selected="0">
            <x v="1"/>
          </reference>
          <reference field="17" count="1" selected="0">
            <x v="1"/>
          </reference>
          <reference field="20" count="1" selected="0">
            <x v="5"/>
          </reference>
        </references>
      </pivotArea>
    </chartFormat>
    <chartFormat chart="6" format="33" series="1">
      <pivotArea type="data" outline="0" fieldPosition="0">
        <references count="2">
          <reference field="4294967294" count="1" selected="0">
            <x v="2"/>
          </reference>
          <reference field="17" count="1" selected="0">
            <x v="1"/>
          </reference>
        </references>
      </pivotArea>
    </chartFormat>
    <chartFormat chart="0" format="19">
      <pivotArea type="data" outline="0" fieldPosition="0">
        <references count="3">
          <reference field="4294967294" count="1" selected="0">
            <x v="0"/>
          </reference>
          <reference field="17" count="1" selected="0">
            <x v="1"/>
          </reference>
          <reference field="20" count="1" selected="0">
            <x v="10"/>
          </reference>
        </references>
      </pivotArea>
    </chartFormat>
    <chartFormat chart="0" format="20">
      <pivotArea type="data" outline="0" fieldPosition="0">
        <references count="3">
          <reference field="4294967294" count="1" selected="0">
            <x v="0"/>
          </reference>
          <reference field="17" count="1" selected="0">
            <x v="1"/>
          </reference>
          <reference field="20" count="1" selected="0">
            <x v="9"/>
          </reference>
        </references>
      </pivotArea>
    </chartFormat>
    <chartFormat chart="0" format="21">
      <pivotArea type="data" outline="0" fieldPosition="0">
        <references count="3">
          <reference field="4294967294" count="1" selected="0">
            <x v="0"/>
          </reference>
          <reference field="17" count="1" selected="0">
            <x v="1"/>
          </reference>
          <reference field="20" count="1" selected="0">
            <x v="8"/>
          </reference>
        </references>
      </pivotArea>
    </chartFormat>
    <chartFormat chart="0" format="22">
      <pivotArea type="data" outline="0" fieldPosition="0">
        <references count="3">
          <reference field="4294967294" count="1" selected="0">
            <x v="0"/>
          </reference>
          <reference field="17" count="1" selected="0">
            <x v="1"/>
          </reference>
          <reference field="20" count="1" selected="0">
            <x v="7"/>
          </reference>
        </references>
      </pivotArea>
    </chartFormat>
    <chartFormat chart="0" format="23">
      <pivotArea type="data" outline="0" fieldPosition="0">
        <references count="3">
          <reference field="4294967294" count="1" selected="0">
            <x v="0"/>
          </reference>
          <reference field="17" count="1" selected="0">
            <x v="1"/>
          </reference>
          <reference field="20" count="1" selected="0">
            <x v="6"/>
          </reference>
        </references>
      </pivotArea>
    </chartFormat>
    <chartFormat chart="0" format="24">
      <pivotArea type="data" outline="0" fieldPosition="0">
        <references count="3">
          <reference field="4294967294" count="1" selected="0">
            <x v="0"/>
          </reference>
          <reference field="17" count="1" selected="0">
            <x v="1"/>
          </reference>
          <reference field="20" count="1" selected="0">
            <x v="11"/>
          </reference>
        </references>
      </pivotArea>
    </chartFormat>
    <chartFormat chart="0" format="25">
      <pivotArea type="data" outline="0" fieldPosition="0">
        <references count="3">
          <reference field="4294967294" count="1" selected="0">
            <x v="1"/>
          </reference>
          <reference field="17" count="1" selected="0">
            <x v="1"/>
          </reference>
          <reference field="20" count="1" selected="0">
            <x v="11"/>
          </reference>
        </references>
      </pivotArea>
    </chartFormat>
    <chartFormat chart="0" format="26">
      <pivotArea type="data" outline="0" fieldPosition="0">
        <references count="3">
          <reference field="4294967294" count="1" selected="0">
            <x v="1"/>
          </reference>
          <reference field="17" count="1" selected="0">
            <x v="1"/>
          </reference>
          <reference field="20" count="1" selected="0">
            <x v="6"/>
          </reference>
        </references>
      </pivotArea>
    </chartFormat>
    <chartFormat chart="0" format="27">
      <pivotArea type="data" outline="0" fieldPosition="0">
        <references count="3">
          <reference field="4294967294" count="1" selected="0">
            <x v="1"/>
          </reference>
          <reference field="17" count="1" selected="0">
            <x v="1"/>
          </reference>
          <reference field="20" count="1" selected="0">
            <x v="7"/>
          </reference>
        </references>
      </pivotArea>
    </chartFormat>
    <chartFormat chart="0" format="28">
      <pivotArea type="data" outline="0" fieldPosition="0">
        <references count="3">
          <reference field="4294967294" count="1" selected="0">
            <x v="1"/>
          </reference>
          <reference field="17" count="1" selected="0">
            <x v="1"/>
          </reference>
          <reference field="20" count="1" selected="0">
            <x v="8"/>
          </reference>
        </references>
      </pivotArea>
    </chartFormat>
    <chartFormat chart="0" format="29">
      <pivotArea type="data" outline="0" fieldPosition="0">
        <references count="3">
          <reference field="4294967294" count="1" selected="0">
            <x v="1"/>
          </reference>
          <reference field="17" count="1" selected="0">
            <x v="1"/>
          </reference>
          <reference field="20" count="1" selected="0">
            <x v="9"/>
          </reference>
        </references>
      </pivotArea>
    </chartFormat>
    <chartFormat chart="0" format="30">
      <pivotArea type="data" outline="0" fieldPosition="0">
        <references count="3">
          <reference field="4294967294" count="1" selected="0">
            <x v="1"/>
          </reference>
          <reference field="17" count="1" selected="0">
            <x v="1"/>
          </reference>
          <reference field="2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830616-BC81-8743-94FC-F34661D16248}"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22:D29" firstHeaderRow="1" firstDataRow="3" firstDataCol="1"/>
  <pivotFields count="30">
    <pivotField showAll="0" defaultSubtotal="0"/>
    <pivotField showAll="0" defaultSubtotal="0"/>
    <pivotField numFmtId="14" showAll="0" defaultSubtota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dataField="1" showAll="0" defaultSubtotal="0"/>
    <pivotField subtotalTop="0" showAll="0" defaultSubtotal="0"/>
    <pivotField showAll="0" defaultSubtotal="0"/>
    <pivotField axis="axisCol" showAll="0" defaultSubtotal="0">
      <items count="2">
        <item x="1"/>
        <item h="1" x="0"/>
      </items>
    </pivotField>
    <pivotField showAll="0" defaultSubtotal="0"/>
    <pivotField showAll="0" defaultSubtotal="0"/>
    <pivotField axis="axisRow" subtotalTop="0" showAll="0" defaultSubtotal="0">
      <items count="12">
        <item m="1" x="6"/>
        <item m="1" x="7"/>
        <item m="1" x="8"/>
        <item m="1" x="9"/>
        <item m="1" x="10"/>
        <item m="1" x="11"/>
        <item x="0"/>
        <item x="1"/>
        <item x="2"/>
        <item x="3"/>
        <item x="4"/>
        <item x="5"/>
      </items>
    </pivotField>
    <pivotField dataField="1" subtotalTop="0" showAll="0" defaultSubtotal="0"/>
    <pivotField subtotalTop="0" showAll="0" defaultSubtotal="0"/>
    <pivotField subtotalTop="0" showAll="0" defaultSubtotal="0"/>
    <pivotField subtotalTop="0" showAll="0" defaultSubtotal="0"/>
    <pivotField showAll="0" defaultSubtotal="0"/>
    <pivotField showAll="0" defaultSubtotal="0"/>
    <pivotField showAll="0" defaultSubtotal="0">
      <items count="8">
        <item x="0"/>
        <item x="1"/>
        <item x="2"/>
        <item x="3"/>
        <item x="4"/>
        <item x="5"/>
        <item x="6"/>
        <item x="7"/>
      </items>
    </pivotField>
    <pivotField subtotalTop="0" dragToRow="0" dragToCol="0" dragToPage="0" showAll="0" defaultSubtotal="0"/>
    <pivotField subtotalTop="0" dragToRow="0" dragToCol="0" dragToPage="0" showAll="0" defaultSubtotal="0"/>
  </pivotFields>
  <rowFields count="1">
    <field x="20"/>
  </rowFields>
  <rowItems count="5">
    <i>
      <x v="6"/>
    </i>
    <i>
      <x v="7"/>
    </i>
    <i>
      <x v="8"/>
    </i>
    <i>
      <x v="9"/>
    </i>
    <i>
      <x v="10"/>
    </i>
  </rowItems>
  <colFields count="2">
    <field x="17"/>
    <field x="-2"/>
  </colFields>
  <colItems count="3">
    <i>
      <x/>
      <x/>
    </i>
    <i r="1" i="1">
      <x v="1"/>
    </i>
    <i r="1" i="2">
      <x v="2"/>
    </i>
  </colItems>
  <dataFields count="3">
    <dataField name="Average of xGD" fld="14" subtotal="average" baseField="0" baseItem="0" numFmtId="2"/>
    <dataField name="Average of GD" fld="11" subtotal="average" baseField="0" baseItem="0" numFmtId="2"/>
    <dataField name="Average of Zero_Line_Helper" fld="21" subtotal="average" baseField="0" baseItem="0"/>
  </dataFields>
  <chartFormats count="22">
    <chartFormat chart="0" format="1"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17" count="1" selected="0">
            <x v="1"/>
          </reference>
        </references>
      </pivotArea>
    </chartFormat>
    <chartFormat chart="0" format="4" series="1">
      <pivotArea type="data" outline="0" fieldPosition="0">
        <references count="2">
          <reference field="4294967294" count="1" selected="0">
            <x v="1"/>
          </reference>
          <reference field="17" count="1" selected="0">
            <x v="1"/>
          </reference>
        </references>
      </pivotArea>
    </chartFormat>
    <chartFormat chart="0" format="5" series="1">
      <pivotArea type="data" outline="0" fieldPosition="0">
        <references count="2">
          <reference field="4294967294" count="1" selected="0">
            <x v="1"/>
          </reference>
          <reference field="17" count="1" selected="0">
            <x v="0"/>
          </reference>
        </references>
      </pivotArea>
    </chartFormat>
    <chartFormat chart="1" format="0" series="1">
      <pivotArea type="data" outline="0" fieldPosition="0">
        <references count="2">
          <reference field="4294967294" count="1" selected="0">
            <x v="0"/>
          </reference>
          <reference field="17" count="1" selected="0">
            <x v="0"/>
          </reference>
        </references>
      </pivotArea>
    </chartFormat>
    <chartFormat chart="1" format="1" series="1">
      <pivotArea type="data" outline="0" fieldPosition="0">
        <references count="2">
          <reference field="4294967294" count="1" selected="0">
            <x v="1"/>
          </reference>
          <reference field="17" count="1" selected="0">
            <x v="0"/>
          </reference>
        </references>
      </pivotArea>
    </chartFormat>
    <chartFormat chart="5" format="0" series="1">
      <pivotArea type="data" outline="0" fieldPosition="0">
        <references count="2">
          <reference field="4294967294" count="1" selected="0">
            <x v="0"/>
          </reference>
          <reference field="17" count="1" selected="0">
            <x v="0"/>
          </reference>
        </references>
      </pivotArea>
    </chartFormat>
    <chartFormat chart="5" format="1" series="1">
      <pivotArea type="data" outline="0" fieldPosition="0">
        <references count="2">
          <reference field="4294967294" count="1" selected="0">
            <x v="1"/>
          </reference>
          <reference field="17" count="1" selected="0">
            <x v="0"/>
          </reference>
        </references>
      </pivotArea>
    </chartFormat>
    <chartFormat chart="6" format="19" series="1">
      <pivotArea type="data" outline="0" fieldPosition="0">
        <references count="2">
          <reference field="4294967294" count="1" selected="0">
            <x v="0"/>
          </reference>
          <reference field="17" count="1" selected="0">
            <x v="0"/>
          </reference>
        </references>
      </pivotArea>
    </chartFormat>
    <chartFormat chart="6" format="20">
      <pivotArea type="data" outline="0" fieldPosition="0">
        <references count="3">
          <reference field="4294967294" count="1" selected="0">
            <x v="0"/>
          </reference>
          <reference field="17" count="1" selected="0">
            <x v="0"/>
          </reference>
          <reference field="20" count="1" selected="0">
            <x v="0"/>
          </reference>
        </references>
      </pivotArea>
    </chartFormat>
    <chartFormat chart="6" format="21">
      <pivotArea type="data" outline="0" fieldPosition="0">
        <references count="3">
          <reference field="4294967294" count="1" selected="0">
            <x v="0"/>
          </reference>
          <reference field="17" count="1" selected="0">
            <x v="0"/>
          </reference>
          <reference field="20" count="1" selected="0">
            <x v="1"/>
          </reference>
        </references>
      </pivotArea>
    </chartFormat>
    <chartFormat chart="6" format="22">
      <pivotArea type="data" outline="0" fieldPosition="0">
        <references count="3">
          <reference field="4294967294" count="1" selected="0">
            <x v="0"/>
          </reference>
          <reference field="17" count="1" selected="0">
            <x v="0"/>
          </reference>
          <reference field="20" count="1" selected="0">
            <x v="2"/>
          </reference>
        </references>
      </pivotArea>
    </chartFormat>
    <chartFormat chart="6" format="23">
      <pivotArea type="data" outline="0" fieldPosition="0">
        <references count="3">
          <reference field="4294967294" count="1" selected="0">
            <x v="0"/>
          </reference>
          <reference field="17" count="1" selected="0">
            <x v="0"/>
          </reference>
          <reference field="20" count="1" selected="0">
            <x v="3"/>
          </reference>
        </references>
      </pivotArea>
    </chartFormat>
    <chartFormat chart="6" format="24">
      <pivotArea type="data" outline="0" fieldPosition="0">
        <references count="3">
          <reference field="4294967294" count="1" selected="0">
            <x v="0"/>
          </reference>
          <reference field="17" count="1" selected="0">
            <x v="0"/>
          </reference>
          <reference field="20" count="1" selected="0">
            <x v="4"/>
          </reference>
        </references>
      </pivotArea>
    </chartFormat>
    <chartFormat chart="6" format="25" series="1">
      <pivotArea type="data" outline="0" fieldPosition="0">
        <references count="2">
          <reference field="4294967294" count="1" selected="0">
            <x v="1"/>
          </reference>
          <reference field="17" count="1" selected="0">
            <x v="0"/>
          </reference>
        </references>
      </pivotArea>
    </chartFormat>
    <chartFormat chart="6" format="26">
      <pivotArea type="data" outline="0" fieldPosition="0">
        <references count="3">
          <reference field="4294967294" count="1" selected="0">
            <x v="1"/>
          </reference>
          <reference field="17" count="1" selected="0">
            <x v="0"/>
          </reference>
          <reference field="20" count="1" selected="0">
            <x v="0"/>
          </reference>
        </references>
      </pivotArea>
    </chartFormat>
    <chartFormat chart="6" format="27">
      <pivotArea type="data" outline="0" fieldPosition="0">
        <references count="3">
          <reference field="4294967294" count="1" selected="0">
            <x v="1"/>
          </reference>
          <reference field="17" count="1" selected="0">
            <x v="0"/>
          </reference>
          <reference field="20" count="1" selected="0">
            <x v="1"/>
          </reference>
        </references>
      </pivotArea>
    </chartFormat>
    <chartFormat chart="6" format="28">
      <pivotArea type="data" outline="0" fieldPosition="0">
        <references count="3">
          <reference field="4294967294" count="1" selected="0">
            <x v="1"/>
          </reference>
          <reference field="17" count="1" selected="0">
            <x v="0"/>
          </reference>
          <reference field="20" count="1" selected="0">
            <x v="2"/>
          </reference>
        </references>
      </pivotArea>
    </chartFormat>
    <chartFormat chart="6" format="29">
      <pivotArea type="data" outline="0" fieldPosition="0">
        <references count="3">
          <reference field="4294967294" count="1" selected="0">
            <x v="1"/>
          </reference>
          <reference field="17" count="1" selected="0">
            <x v="0"/>
          </reference>
          <reference field="20" count="1" selected="0">
            <x v="3"/>
          </reference>
        </references>
      </pivotArea>
    </chartFormat>
    <chartFormat chart="6" format="30">
      <pivotArea type="data" outline="0" fieldPosition="0">
        <references count="3">
          <reference field="4294967294" count="1" selected="0">
            <x v="1"/>
          </reference>
          <reference field="17" count="1" selected="0">
            <x v="0"/>
          </reference>
          <reference field="20" count="1" selected="0">
            <x v="4"/>
          </reference>
        </references>
      </pivotArea>
    </chartFormat>
    <chartFormat chart="6" format="31" series="1">
      <pivotArea type="data" outline="0" fieldPosition="0">
        <references count="2">
          <reference field="4294967294" count="1" selected="0">
            <x v="2"/>
          </reference>
          <reference field="17" count="1" selected="0">
            <x v="0"/>
          </reference>
        </references>
      </pivotArea>
    </chartFormat>
    <chartFormat chart="5" format="2" series="1">
      <pivotArea type="data" outline="0" fieldPosition="0">
        <references count="2">
          <reference field="4294967294" count="1" selected="0">
            <x v="2"/>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5D7282-CDF8-6747-8FAB-F13DAB98F100}"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63:C65" firstHeaderRow="0" firstDataRow="1" firstDataCol="1" rowPageCount="1" colPageCount="1"/>
  <pivotFields count="30">
    <pivotField showAll="0" defaultSubtotal="0"/>
    <pivotField showAll="0" defaultSubtotal="0"/>
    <pivotField numFmtId="14" showAll="0" defaultSubtota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s>
    </pivotField>
    <pivotField showAll="0" defaultSubtotal="0"/>
    <pivotField axis="axisPage" multipleItemSelectionAllowed="1" showAll="0" defaultSubtotal="0">
      <items count="6">
        <item h="1" x="0"/>
        <item h="1" x="1"/>
        <item h="1" x="2"/>
        <item x="3"/>
        <item h="1" x="4"/>
        <item h="1" x="5"/>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2">
        <item x="1"/>
        <item x="0"/>
      </items>
    </pivotField>
    <pivotField showAll="0" defaultSubtotal="0"/>
    <pivotField showAll="0" defaultSubtotal="0"/>
    <pivotField showAll="0" defaultSubtotal="0"/>
    <pivotField showAll="0" defaultSubtotal="0"/>
    <pivotField showAll="0" defaultSubtotal="0"/>
    <pivotField dataField="1" showAll="0" defaultSubtotal="0"/>
    <pivotField dataField="1" showAll="0" defaultSubtotal="0"/>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s>
  <rowFields count="1">
    <field x="17"/>
  </rowFields>
  <rowItems count="2">
    <i>
      <x/>
    </i>
    <i>
      <x v="1"/>
    </i>
  </rowItems>
  <colFields count="1">
    <field x="-2"/>
  </colFields>
  <colItems count="2">
    <i>
      <x/>
    </i>
    <i i="1">
      <x v="1"/>
    </i>
  </colItems>
  <pageFields count="1">
    <pageField fld="4" hier="-1"/>
  </pageFields>
  <dataFields count="2">
    <dataField name="Average of GF - xGF" fld="23" subtotal="average" baseField="0" baseItem="0" numFmtId="2"/>
    <dataField name="Average of GA - xGA" fld="2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B9ED98-E5C4-9C42-84F8-0951918ABC73}"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50:D56" firstHeaderRow="0" firstDataRow="1" firstDataCol="1"/>
  <pivotFields count="30">
    <pivotField showAll="0" defaultSubtotal="0"/>
    <pivotField showAll="0" defaultSubtotal="0"/>
    <pivotField numFmtId="14" showAll="0" defaultSubtota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axis="axisRow" showAll="0" defaultSubtotal="0">
      <items count="12">
        <item m="1" x="6"/>
        <item m="1" x="7"/>
        <item m="1" x="8"/>
        <item m="1" x="9"/>
        <item m="1" x="10"/>
        <item m="1" x="11"/>
        <item x="0"/>
        <item x="1"/>
        <item x="2"/>
        <item x="3"/>
        <item x="4"/>
        <item x="5"/>
      </items>
    </pivotField>
    <pivotField dataField="1" showAll="0" defaultSubtotal="0"/>
    <pivotField showAll="0" defaultSubtotal="0"/>
    <pivotField subtotalTop="0" showAll="0" defaultSubtotal="0"/>
    <pivotField subtotalTop="0" showAll="0" defaultSubtotal="0"/>
    <pivotField showAll="0" defaultSubtotal="0"/>
    <pivotField showAll="0" defaultSubtotal="0"/>
    <pivotField showAll="0" defaultSubtotal="0">
      <items count="8">
        <item x="0"/>
        <item x="1"/>
        <item x="2"/>
        <item x="3"/>
        <item x="4"/>
        <item x="5"/>
        <item x="6"/>
        <item x="7"/>
      </items>
    </pivotField>
    <pivotField subtotalTop="0" dragToRow="0" dragToCol="0" dragToPage="0" showAll="0" defaultSubtotal="0"/>
    <pivotField subtotalTop="0" dragToRow="0" dragToCol="0" dragToPage="0" showAll="0" defaultSubtotal="0"/>
  </pivotFields>
  <rowFields count="1">
    <field x="20"/>
  </rowFields>
  <rowItems count="6">
    <i>
      <x v="6"/>
    </i>
    <i>
      <x v="7"/>
    </i>
    <i>
      <x v="8"/>
    </i>
    <i>
      <x v="9"/>
    </i>
    <i>
      <x v="10"/>
    </i>
    <i>
      <x v="11"/>
    </i>
  </rowItems>
  <colFields count="1">
    <field x="-2"/>
  </colFields>
  <colItems count="3">
    <i>
      <x/>
    </i>
    <i i="1">
      <x v="1"/>
    </i>
    <i i="2">
      <x v="2"/>
    </i>
  </colItems>
  <dataFields count="3">
    <dataField name="Average of xGD" fld="14" subtotal="average" baseField="0" baseItem="0" numFmtId="2"/>
    <dataField name="Average of GD" fld="11" subtotal="average" baseField="0" baseItem="0" numFmtId="2"/>
    <dataField name="Sum of Zero_Line_Helper" fld="21" baseField="0" baseItem="0"/>
  </dataFields>
  <chartFormats count="27">
    <chartFormat chart="6" format="33" series="1">
      <pivotArea type="data" outline="0" fieldPosition="0">
        <references count="1">
          <reference field="4294967294" count="1" selected="0">
            <x v="0"/>
          </reference>
        </references>
      </pivotArea>
    </chartFormat>
    <chartFormat chart="6" format="34">
      <pivotArea type="data" outline="0" fieldPosition="0">
        <references count="2">
          <reference field="4294967294" count="1" selected="0">
            <x v="0"/>
          </reference>
          <reference field="20" count="1" selected="0">
            <x v="0"/>
          </reference>
        </references>
      </pivotArea>
    </chartFormat>
    <chartFormat chart="6" format="35">
      <pivotArea type="data" outline="0" fieldPosition="0">
        <references count="2">
          <reference field="4294967294" count="1" selected="0">
            <x v="0"/>
          </reference>
          <reference field="20" count="1" selected="0">
            <x v="1"/>
          </reference>
        </references>
      </pivotArea>
    </chartFormat>
    <chartFormat chart="6" format="36">
      <pivotArea type="data" outline="0" fieldPosition="0">
        <references count="2">
          <reference field="4294967294" count="1" selected="0">
            <x v="0"/>
          </reference>
          <reference field="20" count="1" selected="0">
            <x v="2"/>
          </reference>
        </references>
      </pivotArea>
    </chartFormat>
    <chartFormat chart="6" format="37">
      <pivotArea type="data" outline="0" fieldPosition="0">
        <references count="2">
          <reference field="4294967294" count="1" selected="0">
            <x v="0"/>
          </reference>
          <reference field="20" count="1" selected="0">
            <x v="3"/>
          </reference>
        </references>
      </pivotArea>
    </chartFormat>
    <chartFormat chart="6" format="38">
      <pivotArea type="data" outline="0" fieldPosition="0">
        <references count="2">
          <reference field="4294967294" count="1" selected="0">
            <x v="0"/>
          </reference>
          <reference field="20" count="1" selected="0">
            <x v="4"/>
          </reference>
        </references>
      </pivotArea>
    </chartFormat>
    <chartFormat chart="6" format="39">
      <pivotArea type="data" outline="0" fieldPosition="0">
        <references count="2">
          <reference field="4294967294" count="1" selected="0">
            <x v="0"/>
          </reference>
          <reference field="20" count="1" selected="0">
            <x v="5"/>
          </reference>
        </references>
      </pivotArea>
    </chartFormat>
    <chartFormat chart="6" format="40" series="1">
      <pivotArea type="data" outline="0" fieldPosition="0">
        <references count="1">
          <reference field="4294967294" count="1" selected="0">
            <x v="1"/>
          </reference>
        </references>
      </pivotArea>
    </chartFormat>
    <chartFormat chart="6" format="41">
      <pivotArea type="data" outline="0" fieldPosition="0">
        <references count="2">
          <reference field="4294967294" count="1" selected="0">
            <x v="1"/>
          </reference>
          <reference field="20" count="1" selected="0">
            <x v="0"/>
          </reference>
        </references>
      </pivotArea>
    </chartFormat>
    <chartFormat chart="6" format="42">
      <pivotArea type="data" outline="0" fieldPosition="0">
        <references count="2">
          <reference field="4294967294" count="1" selected="0">
            <x v="1"/>
          </reference>
          <reference field="20" count="1" selected="0">
            <x v="1"/>
          </reference>
        </references>
      </pivotArea>
    </chartFormat>
    <chartFormat chart="6" format="43">
      <pivotArea type="data" outline="0" fieldPosition="0">
        <references count="2">
          <reference field="4294967294" count="1" selected="0">
            <x v="1"/>
          </reference>
          <reference field="20" count="1" selected="0">
            <x v="2"/>
          </reference>
        </references>
      </pivotArea>
    </chartFormat>
    <chartFormat chart="6" format="44">
      <pivotArea type="data" outline="0" fieldPosition="0">
        <references count="2">
          <reference field="4294967294" count="1" selected="0">
            <x v="1"/>
          </reference>
          <reference field="20" count="1" selected="0">
            <x v="3"/>
          </reference>
        </references>
      </pivotArea>
    </chartFormat>
    <chartFormat chart="6" format="45">
      <pivotArea type="data" outline="0" fieldPosition="0">
        <references count="2">
          <reference field="4294967294" count="1" selected="0">
            <x v="1"/>
          </reference>
          <reference field="20" count="1" selected="0">
            <x v="4"/>
          </reference>
        </references>
      </pivotArea>
    </chartFormat>
    <chartFormat chart="6" format="46">
      <pivotArea type="data" outline="0" fieldPosition="0">
        <references count="2">
          <reference field="4294967294" count="1" selected="0">
            <x v="1"/>
          </reference>
          <reference field="20" count="1" selected="0">
            <x v="5"/>
          </reference>
        </references>
      </pivotArea>
    </chartFormat>
    <chartFormat chart="6" format="47" series="1">
      <pivotArea type="data" outline="0" fieldPosition="0">
        <references count="1">
          <reference field="4294967294" count="1" selected="0">
            <x v="2"/>
          </reference>
        </references>
      </pivotArea>
    </chartFormat>
    <chartFormat chart="6" format="48">
      <pivotArea type="data" outline="0" fieldPosition="0">
        <references count="2">
          <reference field="4294967294" count="1" selected="0">
            <x v="1"/>
          </reference>
          <reference field="20" count="1" selected="0">
            <x v="7"/>
          </reference>
        </references>
      </pivotArea>
    </chartFormat>
    <chartFormat chart="6" format="49">
      <pivotArea type="data" outline="0" fieldPosition="0">
        <references count="2">
          <reference field="4294967294" count="1" selected="0">
            <x v="1"/>
          </reference>
          <reference field="20" count="1" selected="0">
            <x v="9"/>
          </reference>
        </references>
      </pivotArea>
    </chartFormat>
    <chartFormat chart="6" format="50">
      <pivotArea type="data" outline="0" fieldPosition="0">
        <references count="2">
          <reference field="4294967294" count="1" selected="0">
            <x v="1"/>
          </reference>
          <reference field="20" count="1" selected="0">
            <x v="10"/>
          </reference>
        </references>
      </pivotArea>
    </chartFormat>
    <chartFormat chart="6" format="51">
      <pivotArea type="data" outline="0" fieldPosition="0">
        <references count="2">
          <reference field="4294967294" count="1" selected="0">
            <x v="1"/>
          </reference>
          <reference field="20" count="1" selected="0">
            <x v="11"/>
          </reference>
        </references>
      </pivotArea>
    </chartFormat>
    <chartFormat chart="6" format="52">
      <pivotArea type="data" outline="0" fieldPosition="0">
        <references count="2">
          <reference field="4294967294" count="1" selected="0">
            <x v="0"/>
          </reference>
          <reference field="20" count="1" selected="0">
            <x v="11"/>
          </reference>
        </references>
      </pivotArea>
    </chartFormat>
    <chartFormat chart="6" format="53">
      <pivotArea type="data" outline="0" fieldPosition="0">
        <references count="2">
          <reference field="4294967294" count="1" selected="0">
            <x v="0"/>
          </reference>
          <reference field="20" count="1" selected="0">
            <x v="6"/>
          </reference>
        </references>
      </pivotArea>
    </chartFormat>
    <chartFormat chart="6" format="54">
      <pivotArea type="data" outline="0" fieldPosition="0">
        <references count="2">
          <reference field="4294967294" count="1" selected="0">
            <x v="0"/>
          </reference>
          <reference field="20" count="1" selected="0">
            <x v="7"/>
          </reference>
        </references>
      </pivotArea>
    </chartFormat>
    <chartFormat chart="6" format="55">
      <pivotArea type="data" outline="0" fieldPosition="0">
        <references count="2">
          <reference field="4294967294" count="1" selected="0">
            <x v="0"/>
          </reference>
          <reference field="20" count="1" selected="0">
            <x v="8"/>
          </reference>
        </references>
      </pivotArea>
    </chartFormat>
    <chartFormat chart="6" format="56">
      <pivotArea type="data" outline="0" fieldPosition="0">
        <references count="2">
          <reference field="4294967294" count="1" selected="0">
            <x v="0"/>
          </reference>
          <reference field="20" count="1" selected="0">
            <x v="9"/>
          </reference>
        </references>
      </pivotArea>
    </chartFormat>
    <chartFormat chart="6" format="57">
      <pivotArea type="data" outline="0" fieldPosition="0">
        <references count="2">
          <reference field="4294967294" count="1" selected="0">
            <x v="0"/>
          </reference>
          <reference field="20" count="1" selected="0">
            <x v="10"/>
          </reference>
        </references>
      </pivotArea>
    </chartFormat>
    <chartFormat chart="6" format="58">
      <pivotArea type="data" outline="0" fieldPosition="0">
        <references count="2">
          <reference field="4294967294" count="1" selected="0">
            <x v="1"/>
          </reference>
          <reference field="20" count="1" selected="0">
            <x v="6"/>
          </reference>
        </references>
      </pivotArea>
    </chartFormat>
    <chartFormat chart="6" format="59">
      <pivotArea type="data" outline="0" fieldPosition="0">
        <references count="2">
          <reference field="4294967294" count="1" selected="0">
            <x v="1"/>
          </reference>
          <reference field="2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90B696-EAB6-5C4C-B541-E0DC83047F41}" name="PivotTable1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C52:E56" firstHeaderRow="0" firstDataRow="1" firstDataCol="1"/>
  <pivotFields count="30">
    <pivotField showAll="0" defaultSubtotal="0"/>
    <pivotField showAll="0" defaultSubtotal="0"/>
    <pivotField numFmtId="14" showAll="0" defaultSubtota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s>
    </pivotField>
    <pivotField showAll="0" defaultSubtotal="0"/>
    <pivotField axis="axisRow" showAll="0" defaultSubtotal="0">
      <items count="6">
        <item h="1" x="0"/>
        <item h="1" x="1"/>
        <item h="1" x="2"/>
        <item x="3"/>
        <item h="1" x="4"/>
        <item h="1" x="5"/>
      </items>
    </pivotField>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dataField="1" showAll="0" defaultSubtotal="0"/>
    <pivotField showAll="0" defaultSubtotal="0"/>
    <pivotField showAll="0" defaultSubtotal="0"/>
    <pivotField subtotalTop="0" showAll="0" defaultSubtotal="0"/>
    <pivotField showAll="0" defaultSubtotal="0"/>
    <pivotField showAll="0" defaultSubtotal="0"/>
    <pivotField axis="axisRow" showAll="0" defaultSubtotal="0">
      <items count="3">
        <item x="0"/>
        <item x="1"/>
        <item x="2"/>
      </items>
    </pivotField>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howAll="0" defaultSubtotal="0"/>
    <pivotField showAll="0" defaultSubtotal="0"/>
    <pivotField showAll="0" defaultSubtotal="0">
      <items count="8">
        <item x="0"/>
        <item x="1"/>
        <item x="2"/>
        <item x="3"/>
        <item x="4"/>
        <item x="5"/>
        <item x="6"/>
        <item x="7"/>
      </items>
    </pivotField>
    <pivotField subtotalTop="0" dragToRow="0" dragToCol="0" dragToPage="0" showAll="0" defaultSubtotal="0"/>
    <pivotField subtotalTop="0" dragToRow="0" dragToCol="0" dragToPage="0" showAll="0" defaultSubtotal="0"/>
  </pivotFields>
  <rowFields count="2">
    <field x="4"/>
    <field x="18"/>
  </rowFields>
  <rowItems count="4">
    <i>
      <x v="3"/>
    </i>
    <i r="1">
      <x/>
    </i>
    <i r="1">
      <x v="1"/>
    </i>
    <i r="1">
      <x v="2"/>
    </i>
  </rowItems>
  <colFields count="1">
    <field x="-2"/>
  </colFields>
  <colItems count="2">
    <i>
      <x/>
    </i>
    <i i="1">
      <x v="1"/>
    </i>
  </colItems>
  <dataFields count="2">
    <dataField name="Average of GF" fld="9" subtotal="average" baseField="0" baseItem="0" numFmtId="2"/>
    <dataField name="Average of xG" fld="12"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C304A7-0D5A-1D4F-8FA0-73403E715280}"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32:R39" firstHeaderRow="0" firstDataRow="1" firstDataCol="1"/>
  <pivotFields count="30">
    <pivotField showAll="0"/>
    <pivotField showAll="0"/>
    <pivotField numFmtId="14" showAll="0">
      <items count="2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showAll="0"/>
    <pivotField axis="axisRow" showAll="0">
      <items count="7">
        <item x="0"/>
        <item x="1"/>
        <item x="2"/>
        <item x="3"/>
        <item x="4"/>
        <item x="5"/>
        <item t="default"/>
      </items>
    </pivotField>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s>
  <rowFields count="1">
    <field x="4"/>
  </rowFields>
  <rowItems count="7">
    <i>
      <x/>
    </i>
    <i>
      <x v="1"/>
    </i>
    <i>
      <x v="2"/>
    </i>
    <i>
      <x v="3"/>
    </i>
    <i>
      <x v="4"/>
    </i>
    <i>
      <x v="5"/>
    </i>
    <i t="grand">
      <x/>
    </i>
  </rowItems>
  <colFields count="1">
    <field x="-2"/>
  </colFields>
  <colItems count="2">
    <i>
      <x/>
    </i>
    <i i="1">
      <x v="1"/>
    </i>
  </colItems>
  <dataFields count="2">
    <dataField name="Sum of GA" fld="10" baseField="0" baseItem="0"/>
    <dataField name="Sum of xGA"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08CD247-5928-524F-9D72-546466BAA126}" name="PivotTable10"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28:H31" firstHeaderRow="0" firstDataRow="1" firstDataCol="1"/>
  <pivotFields count="30">
    <pivotField showAll="0" defaultSubtotal="0"/>
    <pivotField showAll="0" defaultSubtotal="0"/>
    <pivotField numFmtId="14" showAll="0" defaultSubtota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s>
    </pivotField>
    <pivotField showAll="0" defaultSubtotal="0"/>
    <pivotField axis="axisRow" showAll="0" defaultSubtotal="0">
      <items count="6">
        <item h="1" x="0"/>
        <item h="1" x="1"/>
        <item h="1" x="2"/>
        <item x="3"/>
        <item h="1" x="4"/>
        <item h="1" x="5"/>
      </items>
    </pivotField>
    <pivotField showAll="0" defaultSubtotal="0"/>
    <pivotField showAll="0" defaultSubtotal="0"/>
    <pivotField showAll="0" defaultSubtotal="0"/>
    <pivotField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subtotalTop="0" showAll="0" defaultSubtotal="0"/>
    <pivotField showAll="0" defaultSubtotal="0"/>
    <pivotField axis="axisRow" dataField="1" showAll="0" defaultSubtotal="0">
      <items count="2">
        <item x="1"/>
        <item x="0"/>
      </items>
    </pivotField>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howAll="0" defaultSubtotal="0"/>
    <pivotField showAll="0" defaultSubtotal="0"/>
    <pivotField showAll="0" defaultSubtotal="0">
      <items count="8">
        <item x="0"/>
        <item x="1"/>
        <item x="2"/>
        <item x="3"/>
        <item x="4"/>
        <item x="5"/>
        <item x="6"/>
        <item x="7"/>
      </items>
    </pivotField>
    <pivotField subtotalTop="0" dragToRow="0" dragToCol="0" dragToPage="0" showAll="0" defaultSubtotal="0"/>
    <pivotField subtotalTop="0" dragToRow="0" dragToCol="0" dragToPage="0" showAll="0" defaultSubtotal="0"/>
  </pivotFields>
  <rowFields count="2">
    <field x="4"/>
    <field x="17"/>
  </rowFields>
  <rowItems count="3">
    <i>
      <x v="3"/>
    </i>
    <i r="1">
      <x/>
    </i>
    <i r="1">
      <x v="1"/>
    </i>
  </rowItems>
  <colFields count="1">
    <field x="-2"/>
  </colFields>
  <colItems count="7">
    <i>
      <x/>
    </i>
    <i i="1">
      <x v="1"/>
    </i>
    <i i="2">
      <x v="2"/>
    </i>
    <i i="3">
      <x v="3"/>
    </i>
    <i i="4">
      <x v="4"/>
    </i>
    <i i="5">
      <x v="5"/>
    </i>
    <i i="6">
      <x v="6"/>
    </i>
  </colItems>
  <dataFields count="7">
    <dataField name="Average of GF" fld="9" subtotal="average" baseField="0" baseItem="0" numFmtId="2"/>
    <dataField name="Average of xG" fld="12" subtotal="average" baseField="0" baseItem="0" numFmtId="2"/>
    <dataField name="Average of GA" fld="10" subtotal="average" baseField="0" baseItem="0" numFmtId="2"/>
    <dataField name="Average of xGA" fld="13" subtotal="average" baseField="0" baseItem="0" numFmtId="2"/>
    <dataField name="Average of xGD" fld="14" subtotal="average" baseField="0" baseItem="0" numFmtId="2"/>
    <dataField name="Average of GD" fld="11" subtotal="average" baseField="0" baseItem="0" numFmtId="2"/>
    <dataField name="Count of Did_Vela_Play"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494F612-58B8-1F42-9728-9000FB2DEFBD}" name="PivotTable1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H52:J56" firstHeaderRow="0" firstDataRow="1" firstDataCol="1"/>
  <pivotFields count="30">
    <pivotField showAll="0" defaultSubtotal="0"/>
    <pivotField showAll="0" defaultSubtotal="0"/>
    <pivotField numFmtId="14" showAll="0" defaultSubtota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s>
    </pivotField>
    <pivotField showAll="0" defaultSubtotal="0"/>
    <pivotField axis="axisRow" showAll="0" defaultSubtotal="0">
      <items count="6">
        <item h="1" x="0"/>
        <item h="1" x="1"/>
        <item h="1" x="2"/>
        <item x="3"/>
        <item h="1" x="4"/>
        <item h="1" x="5"/>
      </items>
    </pivotField>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dataField="1" showAll="0" defaultSubtotal="0"/>
    <pivotField subtotalTop="0" showAll="0" defaultSubtotal="0"/>
    <pivotField showAll="0" defaultSubtotal="0"/>
    <pivotField showAll="0" defaultSubtotal="0"/>
    <pivotField axis="axisRow" showAll="0" defaultSubtotal="0">
      <items count="3">
        <item x="0"/>
        <item x="1"/>
        <item x="2"/>
      </items>
    </pivotField>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howAll="0" defaultSubtotal="0"/>
    <pivotField showAll="0" defaultSubtotal="0"/>
    <pivotField showAll="0" defaultSubtotal="0">
      <items count="8">
        <item x="0"/>
        <item x="1"/>
        <item x="2"/>
        <item x="3"/>
        <item x="4"/>
        <item x="5"/>
        <item x="6"/>
        <item x="7"/>
      </items>
    </pivotField>
    <pivotField subtotalTop="0" dragToRow="0" dragToCol="0" dragToPage="0" showAll="0" defaultSubtotal="0"/>
    <pivotField subtotalTop="0" dragToRow="0" dragToCol="0" dragToPage="0" showAll="0" defaultSubtotal="0"/>
  </pivotFields>
  <rowFields count="2">
    <field x="4"/>
    <field x="18"/>
  </rowFields>
  <rowItems count="4">
    <i>
      <x v="3"/>
    </i>
    <i r="1">
      <x/>
    </i>
    <i r="1">
      <x v="1"/>
    </i>
    <i r="1">
      <x v="2"/>
    </i>
  </rowItems>
  <colFields count="1">
    <field x="-2"/>
  </colFields>
  <colItems count="2">
    <i>
      <x/>
    </i>
    <i i="1">
      <x v="1"/>
    </i>
  </colItems>
  <dataFields count="2">
    <dataField name="Average of GD" fld="11" subtotal="average" baseField="0" baseItem="0" numFmtId="2"/>
    <dataField name="Average of xGD" fld="14"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6A5AD5-C96F-564E-B6B9-53163D7034A5}"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T18:V24" firstHeaderRow="0" firstDataRow="1" firstDataCol="1"/>
  <pivotFields count="30">
    <pivotField showAll="0"/>
    <pivotField showAll="0"/>
    <pivotField numFmtId="14" showAll="0">
      <items count="2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showAll="0"/>
    <pivotField axis="axisRow" showAll="0">
      <items count="7">
        <item x="0"/>
        <item x="1"/>
        <item x="2"/>
        <item x="3"/>
        <item x="4"/>
        <item x="5"/>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s>
  <rowFields count="1">
    <field x="4"/>
  </rowFields>
  <rowItems count="6">
    <i>
      <x/>
    </i>
    <i>
      <x v="1"/>
    </i>
    <i>
      <x v="2"/>
    </i>
    <i>
      <x v="3"/>
    </i>
    <i>
      <x v="4"/>
    </i>
    <i>
      <x v="5"/>
    </i>
  </rowItems>
  <colFields count="1">
    <field x="-2"/>
  </colFields>
  <colItems count="2">
    <i>
      <x/>
    </i>
    <i i="1">
      <x v="1"/>
    </i>
  </colItems>
  <dataFields count="2">
    <dataField name="Average of GD" fld="11" subtotal="average" baseField="0" baseItem="0" numFmtId="2"/>
    <dataField name="Average of xGD" fld="14" subtotal="average" baseField="0" baseItem="0" numFmtId="2"/>
  </dataFields>
  <chartFormats count="2">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B7D9180-00B7-CF42-BCD9-FBCA938F368C}" name="PivotTable1" cacheId="1" dataOnRows="1" applyNumberFormats="0" applyBorderFormats="0" applyFontFormats="0" applyPatternFormats="0" applyAlignmentFormats="0" applyWidthHeightFormats="1" dataCaption="Values" updatedVersion="8" minRefreshableVersion="3" showDrill="0" useAutoFormatting="1" colGrandTotals="0" itemPrintTitles="1" createdVersion="8" indent="0" compact="0" outline="1" outlineData="1" compactData="0" multipleFieldFilters="0" chartFormat="3">
  <location ref="D17:F24" firstHeaderRow="1" firstDataRow="2" firstDataCol="1"/>
  <pivotFields count="30">
    <pivotField compact="0" subtotalTop="0" showAll="0" defaultSubtotal="0"/>
    <pivotField compact="0" subtotalTop="0" showAll="0" defaultSubtotal="0"/>
    <pivotField compact="0" numFmtId="14" subtotalTop="0" showAll="0" defaultSubtota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s>
    </pivotField>
    <pivotField compact="0" subtotalTop="0" showAll="0" defaultSubtotal="0"/>
    <pivotField compact="0" subtotalTop="0" showAll="0" defaultSubtotal="0"/>
    <pivotField compact="0" subtotalTop="0" showAll="0" defaultSubtotal="0"/>
    <pivotField compact="0" subtotalTop="0" showAll="0" defaultSubtotal="0"/>
    <pivotField compact="0" subtotalTop="0" showAll="0" defaultSubtotal="0"/>
    <pivotField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dataField="1" compact="0" subtotalTop="0" showAll="0" defaultSubtotal="0"/>
    <pivotField compact="0" subtotalTop="0" showAll="0" defaultSubtotal="0"/>
    <pivotField compact="0" subtotalTop="0" showAll="0" defaultSubtotal="0"/>
    <pivotField axis="axisCol" compact="0" subtotalTop="0" showAll="0">
      <items count="3">
        <item x="1"/>
        <item x="0"/>
        <item t="default"/>
      </items>
    </pivotField>
    <pivotField compact="0" subtotalTop="0" showAll="0" defaultSubtotal="0"/>
    <pivotField compact="0" subtotalTop="0" showAll="0" defaultSubtotal="0"/>
    <pivotField compact="0" subtotalTop="0" showAll="0" defaultSubtotal="0"/>
    <pivotField compact="0" subtotalTop="0" showAll="0" defaultSubtotal="0"/>
    <pivotField compact="0" subtotalTop="0" showAll="0" defaultSubtotal="0"/>
    <pivotField compact="0" subtotalTop="0" showAll="0" defaultSubtotal="0"/>
    <pivotField compact="0" subtotalTop="0" showAll="0" defaultSubtotal="0"/>
    <pivotField compact="0" subtotalTop="0" showAll="0" defaultSubtotal="0">
      <items count="14">
        <item x="0"/>
        <item x="1"/>
        <item x="2"/>
        <item x="3"/>
        <item x="4"/>
        <item x="5"/>
        <item x="6"/>
        <item x="7"/>
        <item x="8"/>
        <item x="9"/>
        <item x="10"/>
        <item x="11"/>
        <item x="12"/>
        <item x="13"/>
      </items>
    </pivotField>
    <pivotField compact="0" subtotalTop="0" showAll="0" defaultSubtotal="0">
      <items count="6">
        <item x="0"/>
        <item x="1"/>
        <item x="2"/>
        <item x="3"/>
        <item x="4"/>
        <item x="5"/>
      </items>
    </pivotField>
    <pivotField compact="0" subtotalTop="0" showAll="0" defaultSubtotal="0">
      <items count="8">
        <item x="0"/>
        <item x="1"/>
        <item x="2"/>
        <item x="3"/>
        <item x="4"/>
        <item x="5"/>
        <item x="6"/>
        <item x="7"/>
      </items>
    </pivotField>
    <pivotField compact="0" subtotalTop="0" dragToRow="0" dragToCol="0" dragToPage="0" showAll="0" defaultSubtotal="0"/>
    <pivotField compact="0" subtotalTop="0" dragToRow="0" dragToCol="0" dragToPage="0" showAll="0" defaultSubtotal="0"/>
  </pivotFields>
  <rowFields count="1">
    <field x="-2"/>
  </rowFields>
  <rowItems count="6">
    <i>
      <x/>
    </i>
    <i i="1">
      <x v="1"/>
    </i>
    <i i="2">
      <x v="2"/>
    </i>
    <i i="3">
      <x v="3"/>
    </i>
    <i i="4">
      <x v="4"/>
    </i>
    <i i="5">
      <x v="5"/>
    </i>
  </rowItems>
  <colFields count="1">
    <field x="17"/>
  </colFields>
  <colItems count="2">
    <i>
      <x/>
    </i>
    <i>
      <x v="1"/>
    </i>
  </colItems>
  <dataFields count="6">
    <dataField name="Average of GF" fld="9" subtotal="average" baseField="0" baseItem="0" numFmtId="2"/>
    <dataField name="Average of GA" fld="10" subtotal="average" baseField="0" baseItem="0" numFmtId="2"/>
    <dataField name="Average of GD" fld="11" subtotal="average" baseField="0" baseItem="0" numFmtId="2"/>
    <dataField name="Average of xG" fld="12" subtotal="average" baseField="0" baseItem="0" numFmtId="2"/>
    <dataField name="Average of xGA" fld="13" subtotal="average" baseField="0" baseItem="0" numFmtId="2"/>
    <dataField name="Average of xGD" fld="14" subtotal="average" baseField="0" baseItem="0" numFmtId="2"/>
  </dataFields>
  <chartFormats count="3">
    <chartFormat chart="0" format="39" series="1">
      <pivotArea type="data" outline="0" fieldPosition="0">
        <references count="1">
          <reference field="4294967294" count="1" selected="0">
            <x v="0"/>
          </reference>
        </references>
      </pivotArea>
    </chartFormat>
    <chartFormat chart="0" format="45" series="1">
      <pivotArea type="data" outline="0" fieldPosition="0">
        <references count="2">
          <reference field="4294967294" count="1" selected="0">
            <x v="0"/>
          </reference>
          <reference field="17" count="1" selected="0">
            <x v="1"/>
          </reference>
        </references>
      </pivotArea>
    </chartFormat>
    <chartFormat chart="0" format="46" series="1">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1A5C85D-D820-134E-832E-A7D6B7D519FC}"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H18:J23" firstHeaderRow="1" firstDataRow="2" firstDataCol="1"/>
  <pivotFields count="17">
    <pivotField showAll="0" defaultSubtotal="0"/>
    <pivotField showAll="0" defaultSubtotal="0"/>
    <pivotField showAll="0" defaultSubtotal="0"/>
    <pivotField showAll="0" defaultSubtotal="0"/>
    <pivotField axis="axisRow" showAll="0" defaultSubtotal="0">
      <items count="7">
        <item h="1" x="0"/>
        <item h="1" x="1"/>
        <item h="1" x="2"/>
        <item x="3"/>
        <item h="1" x="4"/>
        <item h="1" x="5"/>
        <item h="1" x="6"/>
      </items>
    </pivotField>
    <pivotField showAll="0" defaultSubtotal="0"/>
    <pivotField showAll="0" defaultSubtotal="0"/>
    <pivotField axis="axisCol" showAll="0" defaultSubtotal="0">
      <items count="3">
        <item x="1"/>
        <item x="0"/>
        <item h="1" x="2"/>
      </items>
    </pivotField>
    <pivotField axis="axisRow" dataField="1" showAll="0" defaultSubtotal="0">
      <items count="4">
        <item x="2"/>
        <item x="1"/>
        <item h="1" x="3"/>
        <item x="0"/>
      </items>
    </pivotField>
    <pivotField showAll="0" defaultSubtotal="0"/>
    <pivotField showAll="0" defaultSubtotal="0"/>
    <pivotField showAll="0" defaultSubtotal="0"/>
    <pivotField showAll="0" defaultSubtotal="0"/>
    <pivotField showAll="0" defaultSubtotal="0"/>
    <pivotField showAll="0" defaultSubtotal="0"/>
    <pivotField subtotalTop="0" showAll="0" defaultSubtotal="0"/>
    <pivotField showAll="0" defaultSubtotal="0"/>
  </pivotFields>
  <rowFields count="2">
    <field x="4"/>
    <field x="8"/>
  </rowFields>
  <rowItems count="4">
    <i>
      <x v="3"/>
    </i>
    <i r="1">
      <x/>
    </i>
    <i r="1">
      <x v="1"/>
    </i>
    <i r="1">
      <x v="3"/>
    </i>
  </rowItems>
  <colFields count="1">
    <field x="7"/>
  </colFields>
  <colItems count="2">
    <i>
      <x/>
    </i>
    <i>
      <x v="1"/>
    </i>
  </colItems>
  <dataFields count="1">
    <dataField name="Count of Result" fld="8" subtotal="count" showDataAs="percentOfCol" baseField="0" baseItem="0" numFmtId="9"/>
  </dataFields>
  <formats count="8">
    <format dxfId="13">
      <pivotArea collapsedLevelsAreSubtotals="1" fieldPosition="0">
        <references count="2">
          <reference field="4" count="0" selected="0"/>
          <reference field="8" count="1">
            <x v="3"/>
          </reference>
        </references>
      </pivotArea>
    </format>
    <format dxfId="12">
      <pivotArea dataOnly="0" labelOnly="1" fieldPosition="0">
        <references count="2">
          <reference field="4" count="0" selected="0"/>
          <reference field="8" count="1">
            <x v="3"/>
          </reference>
        </references>
      </pivotArea>
    </format>
    <format dxfId="11">
      <pivotArea collapsedLevelsAreSubtotals="1" fieldPosition="0">
        <references count="3">
          <reference field="4" count="0" selected="0"/>
          <reference field="7" count="1" selected="0">
            <x v="0"/>
          </reference>
          <reference field="8" count="1">
            <x v="3"/>
          </reference>
        </references>
      </pivotArea>
    </format>
    <format dxfId="10">
      <pivotArea collapsedLevelsAreSubtotals="1" fieldPosition="0">
        <references count="3">
          <reference field="4" count="0" selected="0"/>
          <reference field="7" count="1" selected="0">
            <x v="0"/>
          </reference>
          <reference field="8" count="1">
            <x v="3"/>
          </reference>
        </references>
      </pivotArea>
    </format>
    <format dxfId="9">
      <pivotArea collapsedLevelsAreSubtotals="1" fieldPosition="0">
        <references count="3">
          <reference field="4" count="0" selected="0"/>
          <reference field="7" count="1" selected="0">
            <x v="1"/>
          </reference>
          <reference field="8" count="1">
            <x v="3"/>
          </reference>
        </references>
      </pivotArea>
    </format>
    <format dxfId="8">
      <pivotArea dataOnly="0" labelOnly="1" fieldPosition="0">
        <references count="2">
          <reference field="4" count="0" selected="0"/>
          <reference field="8" count="1">
            <x v="3"/>
          </reference>
        </references>
      </pivotArea>
    </format>
    <format dxfId="7">
      <pivotArea dataOnly="0" labelOnly="1" fieldPosition="0">
        <references count="2">
          <reference field="4" count="0" selected="0"/>
          <reference field="8" count="1">
            <x v="3"/>
          </reference>
        </references>
      </pivotArea>
    </format>
    <format dxfId="6">
      <pivotArea dataOnly="0" labelOnly="1" fieldPosition="0">
        <references count="2">
          <reference field="4" count="0" selected="0"/>
          <reference field="8"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68AE4B5-50AF-3A48-BE71-DC086FD7B769}" name="PivotTable1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Q47:W48" firstHeaderRow="0" firstDataRow="1" firstDataCol="1"/>
  <pivotFields count="30">
    <pivotField showAll="0" defaultSubtotal="0"/>
    <pivotField showAll="0" defaultSubtotal="0"/>
    <pivotField numFmtId="14" showAll="0" defaultSubtota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s>
    </pivotField>
    <pivotField showAll="0" defaultSubtotal="0"/>
    <pivotField axis="axisRow" showAll="0" defaultSubtotal="0">
      <items count="6">
        <item h="1" x="0"/>
        <item x="1"/>
        <item h="1" x="2"/>
        <item h="1" x="3"/>
        <item h="1" x="4"/>
        <item h="1" x="5"/>
      </items>
    </pivotField>
    <pivotField showAll="0" defaultSubtotal="0"/>
    <pivotField showAll="0" defaultSubtotal="0"/>
    <pivotField showAll="0" defaultSubtotal="0"/>
    <pivotField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subtotalTop="0" showAll="0" defaultSubtotal="0"/>
    <pivotField showAll="0" defaultSubtotal="0"/>
    <pivotField showAll="0" defaultSubtotal="0"/>
    <pivotField showAll="0" defaultSubtotal="0"/>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howAll="0" defaultSubtotal="0"/>
    <pivotField showAll="0" defaultSubtotal="0"/>
    <pivotField showAll="0" defaultSubtotal="0">
      <items count="8">
        <item x="0"/>
        <item x="1"/>
        <item x="2"/>
        <item x="3"/>
        <item x="4"/>
        <item x="5"/>
        <item x="6"/>
        <item x="7"/>
      </items>
    </pivotField>
    <pivotField subtotalTop="0" dragToRow="0" dragToCol="0" dragToPage="0" showAll="0" defaultSubtotal="0"/>
    <pivotField subtotalTop="0" dragToRow="0" dragToCol="0" dragToPage="0" showAll="0" defaultSubtotal="0"/>
  </pivotFields>
  <rowFields count="1">
    <field x="4"/>
  </rowFields>
  <rowItems count="1">
    <i>
      <x v="1"/>
    </i>
  </rowItems>
  <colFields count="1">
    <field x="-2"/>
  </colFields>
  <colItems count="6">
    <i>
      <x/>
    </i>
    <i i="1">
      <x v="1"/>
    </i>
    <i i="2">
      <x v="2"/>
    </i>
    <i i="3">
      <x v="3"/>
    </i>
    <i i="4">
      <x v="4"/>
    </i>
    <i i="5">
      <x v="5"/>
    </i>
  </colItems>
  <dataFields count="6">
    <dataField name="Average of GF" fld="9" subtotal="average" baseField="0" baseItem="0" numFmtId="2"/>
    <dataField name="Average of xG" fld="12" subtotal="average" baseField="0" baseItem="0" numFmtId="2"/>
    <dataField name="Average of GA" fld="10" subtotal="average" baseField="0" baseItem="0" numFmtId="2"/>
    <dataField name="Average of xGA" fld="13" subtotal="average" baseField="0" baseItem="0" numFmtId="2"/>
    <dataField name="Average of GD" fld="11" subtotal="average" baseField="0" baseItem="0" numFmtId="2"/>
    <dataField name="Average of xGD" fld="1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7747D10-CF63-874F-947A-413465BC17F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18:Q25" firstHeaderRow="0" firstDataRow="1" firstDataCol="1"/>
  <pivotFields count="30">
    <pivotField showAll="0"/>
    <pivotField showAll="0"/>
    <pivotField numFmtId="14" showAll="0">
      <items count="2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showAll="0"/>
    <pivotField axis="axisRow" showAll="0">
      <items count="7">
        <item x="0"/>
        <item x="1"/>
        <item x="2"/>
        <item x="3"/>
        <item x="4"/>
        <item x="5"/>
        <item t="default"/>
      </items>
    </pivotField>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s>
  <rowFields count="1">
    <field x="4"/>
  </rowFields>
  <rowItems count="7">
    <i>
      <x/>
    </i>
    <i>
      <x v="1"/>
    </i>
    <i>
      <x v="2"/>
    </i>
    <i>
      <x v="3"/>
    </i>
    <i>
      <x v="4"/>
    </i>
    <i>
      <x v="5"/>
    </i>
    <i t="grand">
      <x/>
    </i>
  </rowItems>
  <colFields count="1">
    <field x="-2"/>
  </colFields>
  <colItems count="2">
    <i>
      <x/>
    </i>
    <i i="1">
      <x v="1"/>
    </i>
  </colItems>
  <dataFields count="2">
    <dataField name="Average of GF" fld="9" subtotal="average" baseField="0" baseItem="0" numFmtId="2"/>
    <dataField name="Average of xG" fld="12" subtotal="average" baseField="0" baseItem="0" numFmtId="2"/>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5144820-F152-8F4C-9F3A-8EF44503DB9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4:I101" firstHeaderRow="0" firstDataRow="1" firstDataCol="1"/>
  <pivotFields count="30">
    <pivotField showAll="0"/>
    <pivotField showAll="0"/>
    <pivotField numFmtId="14" showAll="0">
      <items count="2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t="default"/>
      </items>
    </pivotField>
    <pivotField showAll="0"/>
    <pivotField axis="axisRow" showAll="0">
      <items count="7">
        <item x="0"/>
        <item x="1"/>
        <item x="2"/>
        <item x="3"/>
        <item x="4"/>
        <item x="5"/>
        <item t="default"/>
      </items>
    </pivotField>
    <pivotField showAll="0"/>
    <pivotField showAll="0"/>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8">
        <item x="0"/>
        <item x="1"/>
        <item x="2"/>
        <item x="3"/>
        <item x="4"/>
        <item x="5"/>
        <item x="6"/>
        <item x="7"/>
      </items>
    </pivotField>
    <pivotField dragToRow="0" dragToCol="0" dragToPage="0" showAll="0" defaultSubtotal="0"/>
    <pivotField dragToRow="0" dragToCol="0" dragToPage="0" showAll="0" defaultSubtotal="0"/>
  </pivotFields>
  <rowFields count="1">
    <field x="4"/>
  </rowFields>
  <rowItems count="7">
    <i>
      <x/>
    </i>
    <i>
      <x v="1"/>
    </i>
    <i>
      <x v="2"/>
    </i>
    <i>
      <x v="3"/>
    </i>
    <i>
      <x v="4"/>
    </i>
    <i>
      <x v="5"/>
    </i>
    <i t="grand">
      <x/>
    </i>
  </rowItems>
  <colFields count="1">
    <field x="-2"/>
  </colFields>
  <colItems count="2">
    <i>
      <x/>
    </i>
    <i i="1">
      <x v="1"/>
    </i>
  </colItems>
  <dataFields count="2">
    <dataField name="Average of GD" fld="11" subtotal="average" baseField="0" baseItem="0" numFmtId="2"/>
    <dataField name="Average of xGD" fld="14"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849E741-7C9D-4349-80A5-F39872A6DBA1}" name="PivotTable1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71:R75" firstHeaderRow="0" firstDataRow="1" firstDataCol="1"/>
  <pivotFields count="30">
    <pivotField showAll="0" defaultSubtotal="0"/>
    <pivotField showAll="0" defaultSubtotal="0"/>
    <pivotField numFmtId="14" showAll="0" defaultSubtotal="0">
      <items count="2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s>
    </pivotField>
    <pivotField showAll="0" defaultSubtotal="0"/>
    <pivotField axis="axisRow" showAll="0" defaultSubtotal="0">
      <items count="6">
        <item h="1" x="0"/>
        <item h="1" x="1"/>
        <item h="1" x="2"/>
        <item h="1" x="3"/>
        <item x="4"/>
        <item h="1" sd="0" x="5"/>
      </items>
    </pivotField>
    <pivotField showAll="0" defaultSubtotal="0"/>
    <pivotField showAll="0" defaultSubtotal="0"/>
    <pivotField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dataField="1" showAll="0" defaultSubtotal="0"/>
    <pivotField subtotalTop="0" showAll="0" defaultSubtotal="0"/>
    <pivotField showAll="0" defaultSubtotal="0"/>
    <pivotField showAll="0" defaultSubtotal="0"/>
    <pivotField axis="axisRow" showAll="0" defaultSubtotal="0">
      <items count="3">
        <item x="0"/>
        <item x="1"/>
        <item x="2"/>
      </items>
    </pivotField>
    <pivotField showAll="0" defaultSubtotal="0"/>
    <pivotField subtotalTop="0" showAll="0" defaultSubtotal="0"/>
    <pivotField subtotalTop="0" showAll="0" defaultSubtotal="0"/>
    <pivotField subtotalTop="0" showAll="0" defaultSubtotal="0"/>
    <pivotField subtotalTop="0" showAll="0" defaultSubtotal="0"/>
    <pivotField subtotalTop="0" showAll="0" defaultSubtotal="0"/>
    <pivotField showAll="0" defaultSubtotal="0"/>
    <pivotField showAll="0" defaultSubtotal="0"/>
    <pivotField showAll="0" defaultSubtotal="0">
      <items count="8">
        <item x="0"/>
        <item x="1"/>
        <item x="2"/>
        <item x="3"/>
        <item x="4"/>
        <item x="5"/>
        <item x="6"/>
        <item x="7"/>
      </items>
    </pivotField>
    <pivotField subtotalTop="0" dragToRow="0" dragToCol="0" dragToPage="0" showAll="0" defaultSubtotal="0"/>
    <pivotField subtotalTop="0" dragToRow="0" dragToCol="0" dragToPage="0" showAll="0" defaultSubtotal="0"/>
  </pivotFields>
  <rowFields count="2">
    <field x="4"/>
    <field x="18"/>
  </rowFields>
  <rowItems count="4">
    <i>
      <x v="4"/>
    </i>
    <i r="1">
      <x/>
    </i>
    <i r="1">
      <x v="1"/>
    </i>
    <i r="1">
      <x v="2"/>
    </i>
  </rowItems>
  <colFields count="1">
    <field x="-2"/>
  </colFields>
  <colItems count="7">
    <i>
      <x/>
    </i>
    <i i="1">
      <x v="1"/>
    </i>
    <i i="2">
      <x v="2"/>
    </i>
    <i i="3">
      <x v="3"/>
    </i>
    <i i="4">
      <x v="4"/>
    </i>
    <i i="5">
      <x v="5"/>
    </i>
    <i i="6">
      <x v="6"/>
    </i>
  </colItems>
  <dataFields count="7">
    <dataField name="Average of GF" fld="9" subtotal="average" baseField="0" baseItem="0" numFmtId="2"/>
    <dataField name="Average of xG" fld="12" subtotal="average" baseField="0" baseItem="0" numFmtId="2"/>
    <dataField name="Average of GA" fld="10" subtotal="average" baseField="0" baseItem="0" numFmtId="2"/>
    <dataField name="Average of xGA" fld="13" subtotal="average" baseField="0" baseItem="0" numFmtId="2"/>
    <dataField name="Average of GD" fld="11" subtotal="average" baseField="0" baseItem="0" numFmtId="2"/>
    <dataField name="Average of xGD" fld="14" subtotal="average" baseField="0" baseItem="0" numFmtId="2"/>
    <dataField name="Count of Result"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56243DF3-0E83-394F-8FC9-C3A46E87E629}" autoFormatId="16" applyNumberFormats="0" applyBorderFormats="0" applyFontFormats="0" applyPatternFormats="0" applyAlignmentFormats="0" applyWidthHeightFormats="0">
  <queryTableRefresh nextId="23">
    <queryTableFields count="22">
      <queryTableField id="1" name="Composite_Key" tableColumnId="1"/>
      <queryTableField id="2" name="Matchday" tableColumnId="2"/>
      <queryTableField id="3" name="Date" tableColumnId="3"/>
      <queryTableField id="4" name="Comp" tableColumnId="4"/>
      <queryTableField id="5" name="Season" tableColumnId="5"/>
      <queryTableField id="6" name="Round" tableColumnId="6"/>
      <queryTableField id="7" name="Opponent" tableColumnId="7"/>
      <queryTableField id="8" name="Venue" tableColumnId="8"/>
      <queryTableField id="9" name="Result" tableColumnId="9"/>
      <queryTableField id="10" name="GF" tableColumnId="10"/>
      <queryTableField id="11" name="GA" tableColumnId="11"/>
      <queryTableField id="12" name="GD" tableColumnId="12"/>
      <queryTableField id="13" name="xG" tableColumnId="13"/>
      <queryTableField id="14" name="xGA" tableColumnId="14"/>
      <queryTableField id="15" name="xGD" tableColumnId="15"/>
      <queryTableField id="16" name="xGD - GD" tableColumnId="16"/>
      <queryTableField id="17" name="Vela_Minutes_Played" tableColumnId="17"/>
      <queryTableField id="18" name="Did_Vela_Play" tableColumnId="18"/>
      <queryTableField id="19" name="Display_Year" tableColumnId="19"/>
      <queryTableField id="20" name="Zero_Line_Helper" tableColumnId="20"/>
      <queryTableField id="21" name="GF - xGF" tableColumnId="21"/>
      <queryTableField id="22" name="GA - xGA"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C16292D4-EC79-A941-B126-BC4F50D1F9E0}" autoFormatId="16" applyNumberFormats="0" applyBorderFormats="0" applyFontFormats="0" applyPatternFormats="0" applyAlignmentFormats="0" applyWidthHeightFormats="0">
  <queryTableRefresh nextId="7">
    <queryTableFields count="3">
      <queryTableField id="1" name="Composite_Key" tableColumnId="1"/>
      <queryTableField id="5" name="Vela_Minutes_Played" tableColumnId="5"/>
      <queryTableField id="6" name="Did_Vela_Play"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1237947B-2076-CA48-9F92-20E7E5474D4B}" autoFormatId="16" applyNumberFormats="0" applyBorderFormats="0" applyFontFormats="0" applyPatternFormats="0" applyAlignmentFormats="0" applyWidthHeightFormats="0">
  <queryTableRefresh nextId="27">
    <queryTableFields count="25">
      <queryTableField id="1" name="Composite_Key" tableColumnId="1"/>
      <queryTableField id="2" name="Matchday" tableColumnId="2"/>
      <queryTableField id="3" name="Date" tableColumnId="3"/>
      <queryTableField id="4" name="Comp" tableColumnId="4"/>
      <queryTableField id="5" name="Season" tableColumnId="5"/>
      <queryTableField id="6" name="Round" tableColumnId="6"/>
      <queryTableField id="7" name="Opponent" tableColumnId="7"/>
      <queryTableField id="8" name="Venue" tableColumnId="8"/>
      <queryTableField id="9" name="Result" tableColumnId="9"/>
      <queryTableField id="10" name="GF" tableColumnId="10"/>
      <queryTableField id="11" name="GA" tableColumnId="11"/>
      <queryTableField id="12" name="GD" tableColumnId="12"/>
      <queryTableField id="13" name="xG" tableColumnId="13"/>
      <queryTableField id="14" name="xGA" tableColumnId="14"/>
      <queryTableField id="15" name="xGD" tableColumnId="15"/>
      <queryTableField id="23" name="xGD - GD" tableColumnId="23"/>
      <queryTableField id="16" name="Vela_Minutes_Played" tableColumnId="16"/>
      <queryTableField id="17" name="Did_Vela_Play" tableColumnId="17"/>
      <queryTableField id="18" name="Vela_Minutes_Impact" tableColumnId="18"/>
      <queryTableField id="19" name="Did_LAFC_Win" tableColumnId="19"/>
      <queryTableField id="20" name="Display_Year" tableColumnId="20"/>
      <queryTableField id="21" name="Zero_Line_Helper" tableColumnId="21"/>
      <queryTableField id="22" name="Max_Minutes" tableColumnId="22"/>
      <queryTableField id="25" name="GF - xGF" tableColumnId="24"/>
      <queryTableField id="26" name="GA - xGA"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A93DBDDB-142A-2A4A-911F-BF87DE951E71}" sourceName="Season">
  <pivotTables>
    <pivotTable tabId="4" name="PivotTable5"/>
  </pivotTables>
  <data>
    <tabular pivotCacheId="390985910">
      <items count="7">
        <i x="0"/>
        <i x="1"/>
        <i x="2"/>
        <i x="3" s="1"/>
        <i x="4"/>
        <i x="5"/>
        <i x="6"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5D4DEDFC-AA58-8A4F-8601-89A78D6000A4}" cache="Slicer_Season" caption="Season"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2B84EC-AC17-7D4A-890D-EC79F2B1D099}" name="combined_all_matches_CSV" displayName="combined_all_matches_CSV" ref="A1:V205" tableType="queryTable" totalsRowShown="0">
  <autoFilter ref="A1:V205" xr:uid="{3F2B84EC-AC17-7D4A-890D-EC79F2B1D099}"/>
  <tableColumns count="22">
    <tableColumn id="1" xr3:uid="{28BE7814-A8C3-6644-A6AF-1716E20CCC4E}" uniqueName="1" name="Composite_Key" queryTableFieldId="1" dataDxfId="21"/>
    <tableColumn id="2" xr3:uid="{D288A37A-4B4D-124A-98AC-9E649F6E2EF1}" uniqueName="2" name="Matchday" queryTableFieldId="2"/>
    <tableColumn id="3" xr3:uid="{C30C68AB-AFB9-264F-BB22-C859B0F52926}" uniqueName="3" name="Date" queryTableFieldId="3" dataDxfId="20"/>
    <tableColumn id="4" xr3:uid="{72A7F64D-AD94-6448-B443-6CE7C9AE4A77}" uniqueName="4" name="Comp" queryTableFieldId="4" dataDxfId="19"/>
    <tableColumn id="5" xr3:uid="{D98ACAE8-8FAA-E046-9621-8F013D13E492}" uniqueName="5" name="Season" queryTableFieldId="5"/>
    <tableColumn id="6" xr3:uid="{84EC80E5-5421-EF48-8D9B-2BC61A289ED3}" uniqueName="6" name="Round" queryTableFieldId="6" dataDxfId="18"/>
    <tableColumn id="7" xr3:uid="{45DA6C5E-48C9-F743-AFD6-BD724F26F718}" uniqueName="7" name="Opponent" queryTableFieldId="7" dataDxfId="17"/>
    <tableColumn id="8" xr3:uid="{99968BD7-6E08-8846-8292-561E23144EF9}" uniqueName="8" name="Venue" queryTableFieldId="8" dataDxfId="16"/>
    <tableColumn id="9" xr3:uid="{13E4C1D4-A08D-9041-9214-FC95DF0D177E}" uniqueName="9" name="Result" queryTableFieldId="9" dataDxfId="15"/>
    <tableColumn id="10" xr3:uid="{97B187FB-22E1-1741-AE53-134F54C145D0}" uniqueName="10" name="GF" queryTableFieldId="10"/>
    <tableColumn id="11" xr3:uid="{1C036C4A-96F5-BF48-B52E-28CFF6483B3A}" uniqueName="11" name="GA" queryTableFieldId="11"/>
    <tableColumn id="12" xr3:uid="{C8E460D9-2189-A740-BCB6-27012BC92F1D}" uniqueName="12" name="GD" queryTableFieldId="12"/>
    <tableColumn id="13" xr3:uid="{7AFDBABC-FEC7-A148-B448-CD4E2F7510CC}" uniqueName="13" name="xG" queryTableFieldId="13"/>
    <tableColumn id="14" xr3:uid="{0E600C85-BA8F-C84B-A2FE-7DFCA8227384}" uniqueName="14" name="xGA" queryTableFieldId="14"/>
    <tableColumn id="15" xr3:uid="{A6CBCAD2-DF94-CD49-B9DB-0EE744AEDA72}" uniqueName="15" name="xGD" queryTableFieldId="15"/>
    <tableColumn id="16" xr3:uid="{C0B1F4FE-86F0-8548-A8F2-B491CCC80D07}" uniqueName="16" name="xGD - GD" queryTableFieldId="16"/>
    <tableColumn id="17" xr3:uid="{8B1F163F-4AA2-1448-B2AE-E1DDE3B6FF51}" uniqueName="17" name="Vela_Minutes_Played" queryTableFieldId="17"/>
    <tableColumn id="18" xr3:uid="{009004A0-C454-734E-A767-6B69CC9AAF34}" uniqueName="18" name="Did_Vela_Play" queryTableFieldId="18"/>
    <tableColumn id="19" xr3:uid="{A8AFFE55-9BC5-A34F-99BC-BE8166532AE5}" uniqueName="19" name="Display_Year" queryTableFieldId="19" dataDxfId="14"/>
    <tableColumn id="20" xr3:uid="{AC134CDF-5621-4C49-B16E-FD5470D5D24B}" uniqueName="20" name="Zero_Line_Helper" queryTableFieldId="20"/>
    <tableColumn id="21" xr3:uid="{57B44224-2107-AE46-B2DF-E2C307A25A24}" uniqueName="21" name="GF - xGF" queryTableFieldId="21"/>
    <tableColumn id="22" xr3:uid="{19F70BDD-9951-CE41-B50A-C43EE5114C72}" uniqueName="22" name="GA - xGA" queryTableFieldId="2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DF41D4-096F-764A-90DD-1E7CBF309055}" name="Vela_combined_all_matches" displayName="Vela_combined_all_matches" ref="A1:C205" tableType="queryTable" totalsRowShown="0">
  <autoFilter ref="A1:C205" xr:uid="{FEDF41D4-096F-764A-90DD-1E7CBF309055}"/>
  <tableColumns count="3">
    <tableColumn id="1" xr3:uid="{83071114-4994-AF4D-946A-D395B78D241A}" uniqueName="1" name="Composite_Key" queryTableFieldId="1" dataDxfId="22"/>
    <tableColumn id="5" xr3:uid="{40E88A21-44C0-AE4C-9F40-DC3762E11891}" uniqueName="5" name="Vela_Minutes_Played" queryTableFieldId="5"/>
    <tableColumn id="6" xr3:uid="{5919A31A-0706-494D-A801-5D5DB6763A6F}" uniqueName="6" name="Did_Vela_Play" queryTableFieldId="6"/>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C85B6B-C5C1-CA4E-BDCB-EF7EF27424B4}" name="combined_all_matches" displayName="combined_all_matches" ref="A1:Y205" tableType="queryTable" totalsRowShown="0">
  <autoFilter ref="A1:Y205" xr:uid="{36C85B6B-C5C1-CA4E-BDCB-EF7EF27424B4}"/>
  <sortState xmlns:xlrd2="http://schemas.microsoft.com/office/spreadsheetml/2017/richdata2" ref="A2:Y205">
    <sortCondition ref="C1:C205"/>
  </sortState>
  <tableColumns count="25">
    <tableColumn id="1" xr3:uid="{E9A88ADE-C07F-124D-9573-919EE0B3D8F6}" uniqueName="1" name="Composite_Key" queryTableFieldId="1" dataDxfId="30"/>
    <tableColumn id="2" xr3:uid="{9592D3B6-D6C6-2B49-A33E-876813677F56}" uniqueName="2" name="Matchday" queryTableFieldId="2"/>
    <tableColumn id="3" xr3:uid="{46DA6431-EDA1-5D41-A81D-5E997BF79B6C}" uniqueName="3" name="Date" queryTableFieldId="3" dataDxfId="29"/>
    <tableColumn id="4" xr3:uid="{B8049C2E-A0DB-EC4E-AF5A-5BD8CB7BD7D3}" uniqueName="4" name="Comp" queryTableFieldId="4" dataDxfId="28"/>
    <tableColumn id="5" xr3:uid="{32011CF4-7051-F04C-8E6B-2DA3FE14352C}" uniqueName="5" name="Season" queryTableFieldId="5"/>
    <tableColumn id="6" xr3:uid="{BE1970E8-F6FE-5E47-89A6-F4FB91E20D1A}" uniqueName="6" name="Round" queryTableFieldId="6" dataDxfId="27"/>
    <tableColumn id="7" xr3:uid="{3F92A833-9629-6541-A371-47DEB7213642}" uniqueName="7" name="Opponent" queryTableFieldId="7" dataDxfId="26"/>
    <tableColumn id="8" xr3:uid="{EFEDB936-7C94-884E-B2AE-075CB42489AB}" uniqueName="8" name="Venue" queryTableFieldId="8" dataDxfId="25"/>
    <tableColumn id="9" xr3:uid="{4CB51017-3C60-914B-867F-7C79AB4B81E2}" uniqueName="9" name="Result" queryTableFieldId="9" dataDxfId="24"/>
    <tableColumn id="10" xr3:uid="{3E5BE647-75D1-7C45-AF82-C81CA2BD4821}" uniqueName="10" name="GF" queryTableFieldId="10"/>
    <tableColumn id="11" xr3:uid="{96A887CC-25E8-6D4B-A660-DE1D434B3112}" uniqueName="11" name="GA" queryTableFieldId="11"/>
    <tableColumn id="12" xr3:uid="{8169E190-0343-6C43-A12C-05A9145986D3}" uniqueName="12" name="GD" queryTableFieldId="12"/>
    <tableColumn id="13" xr3:uid="{2AECD679-16C9-EF46-B962-7306A35478FC}" uniqueName="13" name="xG" queryTableFieldId="13"/>
    <tableColumn id="14" xr3:uid="{37356108-F0E4-9E4A-B84C-3697BB766AFD}" uniqueName="14" name="xGA" queryTableFieldId="14"/>
    <tableColumn id="15" xr3:uid="{EA3159B2-1247-2E46-8B00-D50154E4516D}" uniqueName="15" name="xGD" queryTableFieldId="15"/>
    <tableColumn id="23" xr3:uid="{B80B1633-7A59-504C-BF6A-08DBD0624B01}" uniqueName="23" name="xGD - GD" queryTableFieldId="23"/>
    <tableColumn id="16" xr3:uid="{7D9369E6-8BE6-7F43-8065-346A9BC03576}" uniqueName="16" name="Vela_Minutes_Played" queryTableFieldId="16"/>
    <tableColumn id="17" xr3:uid="{CD624C64-F57B-2E49-81FE-5441B1666579}" uniqueName="17" name="Did_Vela_Play" queryTableFieldId="17"/>
    <tableColumn id="18" xr3:uid="{DC0B5693-6EBF-DB43-92FD-EF3DE8143EA4}" uniqueName="18" name="Vela_Minutes_Impact" queryTableFieldId="18"/>
    <tableColumn id="19" xr3:uid="{DC86FC7B-3072-CD4A-9B8C-7251342D79C2}" uniqueName="19" name="Did_LAFC_Win" queryTableFieldId="19"/>
    <tableColumn id="20" xr3:uid="{60E186EB-14E3-AB40-BC34-9DA5D3DECAE4}" uniqueName="20" name="Display_Year" queryTableFieldId="20" dataDxfId="23"/>
    <tableColumn id="21" xr3:uid="{9A9EE313-051B-6147-A0A7-DC363634246D}" uniqueName="21" name="Zero_Line_Helper" queryTableFieldId="21"/>
    <tableColumn id="22" xr3:uid="{3050A778-CD41-7643-8E8C-3D04F6C42964}" uniqueName="22" name="Max_Minutes" queryTableFieldId="22"/>
    <tableColumn id="24" xr3:uid="{9925E5BD-D12B-9048-AD2A-957FAAA66AAF}" uniqueName="24" name="GF - xGF" queryTableFieldId="25"/>
    <tableColumn id="25" xr3:uid="{66DF113F-BCC6-3B49-8985-8E0C0EFACD03}" uniqueName="25" name="GA - xGA" queryTableFieldId="26"/>
  </tableColumns>
  <tableStyleInfo name="TableStyleLight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3.xml"/><Relationship Id="rId13" Type="http://schemas.microsoft.com/office/2007/relationships/slicer" Target="../slicers/slicer1.xml"/><Relationship Id="rId3" Type="http://schemas.openxmlformats.org/officeDocument/2006/relationships/pivotTable" Target="../pivotTables/pivotTable8.xml"/><Relationship Id="rId7" Type="http://schemas.openxmlformats.org/officeDocument/2006/relationships/pivotTable" Target="../pivotTables/pivotTable12.xml"/><Relationship Id="rId12" Type="http://schemas.openxmlformats.org/officeDocument/2006/relationships/drawing" Target="../drawings/drawing5.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openxmlformats.org/officeDocument/2006/relationships/pivotTable" Target="../pivotTables/pivotTable16.xml"/><Relationship Id="rId5" Type="http://schemas.openxmlformats.org/officeDocument/2006/relationships/pivotTable" Target="../pivotTables/pivotTable10.xml"/><Relationship Id="rId10" Type="http://schemas.openxmlformats.org/officeDocument/2006/relationships/pivotTable" Target="../pivotTables/pivotTable15.xml"/><Relationship Id="rId4" Type="http://schemas.openxmlformats.org/officeDocument/2006/relationships/pivotTable" Target="../pivotTables/pivotTable9.xml"/><Relationship Id="rId9"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2281B-5D14-994D-8208-23CC77C6888F}">
  <dimension ref="A1:V205"/>
  <sheetViews>
    <sheetView tabSelected="1" zoomScale="75" workbookViewId="0"/>
  </sheetViews>
  <sheetFormatPr baseColWidth="10" defaultRowHeight="16" x14ac:dyDescent="0.2"/>
  <cols>
    <col min="1" max="1" width="16.6640625" bestFit="1" customWidth="1"/>
    <col min="2" max="2" width="11.6640625" bestFit="1" customWidth="1"/>
    <col min="3" max="3" width="8.5" bestFit="1" customWidth="1"/>
    <col min="4" max="4" width="8.6640625" bestFit="1" customWidth="1"/>
    <col min="5" max="5" width="9.6640625" bestFit="1" customWidth="1"/>
    <col min="6" max="6" width="33.5" bestFit="1" customWidth="1"/>
    <col min="7" max="7" width="16.33203125" bestFit="1" customWidth="1"/>
    <col min="8" max="8" width="8.83203125" bestFit="1" customWidth="1"/>
    <col min="9" max="9" width="9" bestFit="1" customWidth="1"/>
    <col min="10" max="10" width="6" bestFit="1" customWidth="1"/>
    <col min="11" max="11" width="6.1640625" bestFit="1" customWidth="1"/>
    <col min="12" max="12" width="6.33203125" bestFit="1" customWidth="1"/>
    <col min="13" max="13" width="5.83203125" bestFit="1" customWidth="1"/>
    <col min="14" max="14" width="7" bestFit="1" customWidth="1"/>
    <col min="15" max="15" width="7.1640625" bestFit="1" customWidth="1"/>
    <col min="16" max="16" width="11.1640625" bestFit="1" customWidth="1"/>
    <col min="17" max="17" width="21.33203125" bestFit="1" customWidth="1"/>
    <col min="18" max="18" width="15.33203125" bestFit="1" customWidth="1"/>
    <col min="19" max="19" width="14.33203125" bestFit="1" customWidth="1"/>
    <col min="20" max="20" width="18" bestFit="1" customWidth="1"/>
    <col min="21" max="21" width="10.5" bestFit="1"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290</v>
      </c>
      <c r="Q1" t="s">
        <v>261</v>
      </c>
      <c r="R1" t="s">
        <v>262</v>
      </c>
      <c r="S1" t="s">
        <v>286</v>
      </c>
      <c r="T1" t="s">
        <v>287</v>
      </c>
      <c r="U1" t="s">
        <v>300</v>
      </c>
      <c r="V1" t="s">
        <v>301</v>
      </c>
    </row>
    <row r="2" spans="1:22" x14ac:dyDescent="0.2">
      <c r="A2" t="s">
        <v>15</v>
      </c>
      <c r="B2">
        <v>1</v>
      </c>
      <c r="C2" s="1">
        <v>43163</v>
      </c>
      <c r="D2" t="s">
        <v>16</v>
      </c>
      <c r="E2">
        <v>2018</v>
      </c>
      <c r="F2" t="s">
        <v>17</v>
      </c>
      <c r="G2" t="s">
        <v>18</v>
      </c>
      <c r="H2" t="s">
        <v>19</v>
      </c>
      <c r="I2" t="s">
        <v>20</v>
      </c>
      <c r="J2">
        <v>1</v>
      </c>
      <c r="K2">
        <v>0</v>
      </c>
      <c r="L2">
        <v>1</v>
      </c>
      <c r="M2">
        <v>0.3</v>
      </c>
      <c r="N2">
        <v>1.9</v>
      </c>
      <c r="O2">
        <v>-1.5999999999999999</v>
      </c>
      <c r="P2">
        <v>-2.5999999999999996</v>
      </c>
      <c r="Q2">
        <v>90</v>
      </c>
      <c r="R2">
        <v>1</v>
      </c>
      <c r="S2" t="s">
        <v>292</v>
      </c>
      <c r="T2">
        <v>0</v>
      </c>
      <c r="U2">
        <v>0.7</v>
      </c>
      <c r="V2">
        <v>-1.9</v>
      </c>
    </row>
    <row r="3" spans="1:22" x14ac:dyDescent="0.2">
      <c r="A3" t="s">
        <v>21</v>
      </c>
      <c r="B3">
        <v>2</v>
      </c>
      <c r="C3" s="1">
        <v>43169</v>
      </c>
      <c r="D3" t="s">
        <v>16</v>
      </c>
      <c r="E3">
        <v>2018</v>
      </c>
      <c r="F3" t="s">
        <v>17</v>
      </c>
      <c r="G3" t="s">
        <v>22</v>
      </c>
      <c r="H3" t="s">
        <v>19</v>
      </c>
      <c r="I3" t="s">
        <v>20</v>
      </c>
      <c r="J3">
        <v>5</v>
      </c>
      <c r="K3">
        <v>1</v>
      </c>
      <c r="L3">
        <v>4</v>
      </c>
      <c r="M3">
        <v>5.0999999999999996</v>
      </c>
      <c r="N3">
        <v>2.2000000000000002</v>
      </c>
      <c r="O3">
        <v>2.8999999999999995</v>
      </c>
      <c r="P3">
        <v>-1.1000000000000005</v>
      </c>
      <c r="Q3">
        <v>90</v>
      </c>
      <c r="R3">
        <v>1</v>
      </c>
      <c r="S3" t="s">
        <v>292</v>
      </c>
      <c r="T3">
        <v>0</v>
      </c>
      <c r="U3">
        <v>-9.9999999999999645E-2</v>
      </c>
      <c r="V3">
        <v>-1.2000000000000002</v>
      </c>
    </row>
    <row r="4" spans="1:22" x14ac:dyDescent="0.2">
      <c r="A4" t="s">
        <v>23</v>
      </c>
      <c r="B4">
        <v>3</v>
      </c>
      <c r="C4" s="1">
        <v>43190</v>
      </c>
      <c r="D4" t="s">
        <v>16</v>
      </c>
      <c r="E4">
        <v>2018</v>
      </c>
      <c r="F4" t="s">
        <v>17</v>
      </c>
      <c r="G4" t="s">
        <v>24</v>
      </c>
      <c r="H4" t="s">
        <v>19</v>
      </c>
      <c r="I4" t="s">
        <v>25</v>
      </c>
      <c r="J4">
        <v>3</v>
      </c>
      <c r="K4">
        <v>4</v>
      </c>
      <c r="L4">
        <v>-1</v>
      </c>
      <c r="M4">
        <v>1.1000000000000001</v>
      </c>
      <c r="N4">
        <v>1.5</v>
      </c>
      <c r="O4">
        <v>-0.39999999999999991</v>
      </c>
      <c r="P4">
        <v>0.60000000000000009</v>
      </c>
      <c r="Q4">
        <v>90</v>
      </c>
      <c r="R4">
        <v>1</v>
      </c>
      <c r="S4" t="s">
        <v>292</v>
      </c>
      <c r="T4">
        <v>0</v>
      </c>
      <c r="U4">
        <v>1.9</v>
      </c>
      <c r="V4">
        <v>2.5</v>
      </c>
    </row>
    <row r="5" spans="1:22" x14ac:dyDescent="0.2">
      <c r="A5" t="s">
        <v>26</v>
      </c>
      <c r="B5">
        <v>4</v>
      </c>
      <c r="C5" s="1">
        <v>43197</v>
      </c>
      <c r="D5" t="s">
        <v>16</v>
      </c>
      <c r="E5">
        <v>2018</v>
      </c>
      <c r="F5" t="s">
        <v>17</v>
      </c>
      <c r="G5" t="s">
        <v>27</v>
      </c>
      <c r="H5" t="s">
        <v>19</v>
      </c>
      <c r="I5" t="s">
        <v>25</v>
      </c>
      <c r="J5">
        <v>0</v>
      </c>
      <c r="K5">
        <v>5</v>
      </c>
      <c r="L5">
        <v>-5</v>
      </c>
      <c r="M5">
        <v>0.8</v>
      </c>
      <c r="N5">
        <v>3.3</v>
      </c>
      <c r="O5">
        <v>-2.5</v>
      </c>
      <c r="P5">
        <v>2.5</v>
      </c>
      <c r="Q5">
        <v>90</v>
      </c>
      <c r="R5">
        <v>1</v>
      </c>
      <c r="S5" t="s">
        <v>292</v>
      </c>
      <c r="T5">
        <v>0</v>
      </c>
      <c r="U5">
        <v>-0.8</v>
      </c>
      <c r="V5">
        <v>1.7000000000000002</v>
      </c>
    </row>
    <row r="6" spans="1:22" x14ac:dyDescent="0.2">
      <c r="A6" t="s">
        <v>28</v>
      </c>
      <c r="B6">
        <v>5</v>
      </c>
      <c r="C6" s="1">
        <v>43203</v>
      </c>
      <c r="D6" t="s">
        <v>16</v>
      </c>
      <c r="E6">
        <v>2018</v>
      </c>
      <c r="F6" t="s">
        <v>17</v>
      </c>
      <c r="G6" t="s">
        <v>29</v>
      </c>
      <c r="H6" t="s">
        <v>19</v>
      </c>
      <c r="I6" t="s">
        <v>20</v>
      </c>
      <c r="J6">
        <v>2</v>
      </c>
      <c r="K6">
        <v>0</v>
      </c>
      <c r="L6">
        <v>2</v>
      </c>
      <c r="M6">
        <v>1.7</v>
      </c>
      <c r="N6">
        <v>0.3</v>
      </c>
      <c r="O6">
        <v>1.4</v>
      </c>
      <c r="P6">
        <v>-0.60000000000000009</v>
      </c>
      <c r="Q6">
        <v>90</v>
      </c>
      <c r="R6">
        <v>1</v>
      </c>
      <c r="S6" t="s">
        <v>292</v>
      </c>
      <c r="T6">
        <v>0</v>
      </c>
      <c r="U6">
        <v>0.30000000000000004</v>
      </c>
      <c r="V6">
        <v>-0.3</v>
      </c>
    </row>
    <row r="7" spans="1:22" x14ac:dyDescent="0.2">
      <c r="A7" t="s">
        <v>30</v>
      </c>
      <c r="B7">
        <v>6</v>
      </c>
      <c r="C7" s="1">
        <v>43211</v>
      </c>
      <c r="D7" t="s">
        <v>16</v>
      </c>
      <c r="E7">
        <v>2018</v>
      </c>
      <c r="F7" t="s">
        <v>17</v>
      </c>
      <c r="G7" t="s">
        <v>31</v>
      </c>
      <c r="H7" t="s">
        <v>19</v>
      </c>
      <c r="I7" t="s">
        <v>20</v>
      </c>
      <c r="J7">
        <v>5</v>
      </c>
      <c r="K7">
        <v>3</v>
      </c>
      <c r="L7">
        <v>2</v>
      </c>
      <c r="M7">
        <v>4.2</v>
      </c>
      <c r="N7">
        <v>1.8</v>
      </c>
      <c r="O7">
        <v>2.4000000000000004</v>
      </c>
      <c r="P7">
        <v>0.40000000000000036</v>
      </c>
      <c r="Q7">
        <v>90</v>
      </c>
      <c r="R7">
        <v>1</v>
      </c>
      <c r="S7" t="s">
        <v>292</v>
      </c>
      <c r="T7">
        <v>0</v>
      </c>
      <c r="U7">
        <v>0.79999999999999982</v>
      </c>
      <c r="V7">
        <v>1.2</v>
      </c>
    </row>
    <row r="8" spans="1:22" x14ac:dyDescent="0.2">
      <c r="A8" t="s">
        <v>32</v>
      </c>
      <c r="B8">
        <v>7</v>
      </c>
      <c r="C8" s="1">
        <v>43219</v>
      </c>
      <c r="D8" t="s">
        <v>16</v>
      </c>
      <c r="E8">
        <v>2018</v>
      </c>
      <c r="F8" t="s">
        <v>17</v>
      </c>
      <c r="G8" t="s">
        <v>18</v>
      </c>
      <c r="H8" t="s">
        <v>33</v>
      </c>
      <c r="I8" t="s">
        <v>20</v>
      </c>
      <c r="J8">
        <v>1</v>
      </c>
      <c r="K8">
        <v>0</v>
      </c>
      <c r="L8">
        <v>1</v>
      </c>
      <c r="M8">
        <v>2.2000000000000002</v>
      </c>
      <c r="N8">
        <v>1.5</v>
      </c>
      <c r="O8">
        <v>0.70000000000000018</v>
      </c>
      <c r="P8">
        <v>-0.29999999999999982</v>
      </c>
      <c r="Q8">
        <v>90</v>
      </c>
      <c r="R8">
        <v>1</v>
      </c>
      <c r="S8" t="s">
        <v>292</v>
      </c>
      <c r="T8">
        <v>0</v>
      </c>
      <c r="U8">
        <v>-1.2000000000000002</v>
      </c>
      <c r="V8">
        <v>-1.5</v>
      </c>
    </row>
    <row r="9" spans="1:22" x14ac:dyDescent="0.2">
      <c r="A9" t="s">
        <v>34</v>
      </c>
      <c r="B9">
        <v>8</v>
      </c>
      <c r="C9" s="1">
        <v>43225</v>
      </c>
      <c r="D9" t="s">
        <v>16</v>
      </c>
      <c r="E9">
        <v>2018</v>
      </c>
      <c r="F9" t="s">
        <v>17</v>
      </c>
      <c r="G9" t="s">
        <v>35</v>
      </c>
      <c r="H9" t="s">
        <v>33</v>
      </c>
      <c r="I9" t="s">
        <v>36</v>
      </c>
      <c r="J9">
        <v>1</v>
      </c>
      <c r="K9">
        <v>1</v>
      </c>
      <c r="L9">
        <v>0</v>
      </c>
      <c r="M9">
        <v>2</v>
      </c>
      <c r="N9">
        <v>0.9</v>
      </c>
      <c r="O9">
        <v>1.1000000000000001</v>
      </c>
      <c r="P9">
        <v>1.1000000000000001</v>
      </c>
      <c r="Q9">
        <v>90</v>
      </c>
      <c r="R9">
        <v>1</v>
      </c>
      <c r="S9" t="s">
        <v>292</v>
      </c>
      <c r="T9">
        <v>0</v>
      </c>
      <c r="U9">
        <v>-1</v>
      </c>
      <c r="V9">
        <v>9.9999999999999978E-2</v>
      </c>
    </row>
    <row r="10" spans="1:22" x14ac:dyDescent="0.2">
      <c r="A10" t="s">
        <v>37</v>
      </c>
      <c r="B10">
        <v>9</v>
      </c>
      <c r="C10" s="1">
        <v>43229</v>
      </c>
      <c r="D10" t="s">
        <v>16</v>
      </c>
      <c r="E10">
        <v>2018</v>
      </c>
      <c r="F10" t="s">
        <v>17</v>
      </c>
      <c r="G10" t="s">
        <v>38</v>
      </c>
      <c r="H10" t="s">
        <v>33</v>
      </c>
      <c r="I10" t="s">
        <v>20</v>
      </c>
      <c r="J10">
        <v>2</v>
      </c>
      <c r="K10">
        <v>0</v>
      </c>
      <c r="L10">
        <v>2</v>
      </c>
      <c r="M10">
        <v>2.4</v>
      </c>
      <c r="N10">
        <v>0.6</v>
      </c>
      <c r="O10">
        <v>1.7999999999999998</v>
      </c>
      <c r="P10">
        <v>-0.20000000000000018</v>
      </c>
      <c r="Q10">
        <v>90</v>
      </c>
      <c r="R10">
        <v>1</v>
      </c>
      <c r="S10" t="s">
        <v>292</v>
      </c>
      <c r="T10">
        <v>0</v>
      </c>
      <c r="U10">
        <v>-0.39999999999999991</v>
      </c>
      <c r="V10">
        <v>-0.6</v>
      </c>
    </row>
    <row r="11" spans="1:22" x14ac:dyDescent="0.2">
      <c r="A11" t="s">
        <v>39</v>
      </c>
      <c r="B11">
        <v>10</v>
      </c>
      <c r="C11" s="1">
        <v>43233</v>
      </c>
      <c r="D11" t="s">
        <v>16</v>
      </c>
      <c r="E11">
        <v>2018</v>
      </c>
      <c r="F11" t="s">
        <v>17</v>
      </c>
      <c r="G11" t="s">
        <v>40</v>
      </c>
      <c r="H11" t="s">
        <v>33</v>
      </c>
      <c r="I11" t="s">
        <v>36</v>
      </c>
      <c r="J11">
        <v>2</v>
      </c>
      <c r="K11">
        <v>2</v>
      </c>
      <c r="L11">
        <v>0</v>
      </c>
      <c r="M11">
        <v>1.4</v>
      </c>
      <c r="N11">
        <v>2.2000000000000002</v>
      </c>
      <c r="O11">
        <v>-0.80000000000000027</v>
      </c>
      <c r="P11">
        <v>-0.80000000000000027</v>
      </c>
      <c r="Q11">
        <v>90</v>
      </c>
      <c r="R11">
        <v>1</v>
      </c>
      <c r="S11" t="s">
        <v>292</v>
      </c>
      <c r="T11">
        <v>0</v>
      </c>
      <c r="U11">
        <v>0.60000000000000009</v>
      </c>
      <c r="V11">
        <v>-0.20000000000000018</v>
      </c>
    </row>
    <row r="12" spans="1:22" x14ac:dyDescent="0.2">
      <c r="A12" t="s">
        <v>41</v>
      </c>
      <c r="B12">
        <v>11</v>
      </c>
      <c r="C12" s="1">
        <v>43239</v>
      </c>
      <c r="D12" t="s">
        <v>16</v>
      </c>
      <c r="E12">
        <v>2018</v>
      </c>
      <c r="F12" t="s">
        <v>17</v>
      </c>
      <c r="G12" t="s">
        <v>42</v>
      </c>
      <c r="H12" t="s">
        <v>19</v>
      </c>
      <c r="I12" t="s">
        <v>25</v>
      </c>
      <c r="J12">
        <v>1</v>
      </c>
      <c r="K12">
        <v>2</v>
      </c>
      <c r="L12">
        <v>-1</v>
      </c>
      <c r="M12">
        <v>1.4</v>
      </c>
      <c r="N12">
        <v>2.5</v>
      </c>
      <c r="O12">
        <v>-1.1000000000000001</v>
      </c>
      <c r="P12">
        <v>-0.10000000000000009</v>
      </c>
      <c r="Q12">
        <v>90</v>
      </c>
      <c r="R12">
        <v>1</v>
      </c>
      <c r="S12" t="s">
        <v>292</v>
      </c>
      <c r="T12">
        <v>0</v>
      </c>
      <c r="U12">
        <v>-0.39999999999999991</v>
      </c>
      <c r="V12">
        <v>-0.5</v>
      </c>
    </row>
    <row r="13" spans="1:22" x14ac:dyDescent="0.2">
      <c r="A13" t="s">
        <v>43</v>
      </c>
      <c r="B13">
        <v>12</v>
      </c>
      <c r="C13" s="1">
        <v>43246</v>
      </c>
      <c r="D13" t="s">
        <v>16</v>
      </c>
      <c r="E13">
        <v>2018</v>
      </c>
      <c r="F13" t="s">
        <v>17</v>
      </c>
      <c r="G13" t="s">
        <v>44</v>
      </c>
      <c r="H13" t="s">
        <v>33</v>
      </c>
      <c r="I13" t="s">
        <v>36</v>
      </c>
      <c r="J13">
        <v>1</v>
      </c>
      <c r="K13">
        <v>1</v>
      </c>
      <c r="L13">
        <v>0</v>
      </c>
      <c r="M13">
        <v>2</v>
      </c>
      <c r="N13">
        <v>1.5</v>
      </c>
      <c r="O13">
        <v>0.5</v>
      </c>
      <c r="P13">
        <v>0.5</v>
      </c>
      <c r="Q13">
        <v>90</v>
      </c>
      <c r="R13">
        <v>1</v>
      </c>
      <c r="S13" t="s">
        <v>292</v>
      </c>
      <c r="T13">
        <v>0</v>
      </c>
      <c r="U13">
        <v>-1</v>
      </c>
      <c r="V13">
        <v>-0.5</v>
      </c>
    </row>
    <row r="14" spans="1:22" x14ac:dyDescent="0.2">
      <c r="A14" t="s">
        <v>45</v>
      </c>
      <c r="B14">
        <v>13</v>
      </c>
      <c r="C14" s="1">
        <v>43253</v>
      </c>
      <c r="D14" t="s">
        <v>16</v>
      </c>
      <c r="E14">
        <v>2018</v>
      </c>
      <c r="F14" t="s">
        <v>17</v>
      </c>
      <c r="G14" t="s">
        <v>35</v>
      </c>
      <c r="H14" t="s">
        <v>19</v>
      </c>
      <c r="I14" t="s">
        <v>25</v>
      </c>
      <c r="J14">
        <v>1</v>
      </c>
      <c r="K14">
        <v>2</v>
      </c>
      <c r="L14">
        <v>-1</v>
      </c>
      <c r="M14">
        <v>0.9</v>
      </c>
      <c r="N14">
        <v>2.5</v>
      </c>
      <c r="O14">
        <v>-1.6</v>
      </c>
      <c r="P14">
        <v>-0.60000000000000009</v>
      </c>
      <c r="Q14">
        <v>0</v>
      </c>
      <c r="R14">
        <v>0</v>
      </c>
      <c r="S14" t="s">
        <v>292</v>
      </c>
      <c r="T14">
        <v>0</v>
      </c>
      <c r="U14">
        <v>9.9999999999999978E-2</v>
      </c>
      <c r="V14">
        <v>-0.5</v>
      </c>
    </row>
    <row r="15" spans="1:22" x14ac:dyDescent="0.2">
      <c r="A15" t="s">
        <v>46</v>
      </c>
      <c r="B15">
        <v>14</v>
      </c>
      <c r="C15" s="1">
        <v>43260</v>
      </c>
      <c r="D15" t="s">
        <v>16</v>
      </c>
      <c r="E15">
        <v>2018</v>
      </c>
      <c r="F15" t="s">
        <v>17</v>
      </c>
      <c r="G15" t="s">
        <v>47</v>
      </c>
      <c r="H15" t="s">
        <v>19</v>
      </c>
      <c r="I15" t="s">
        <v>20</v>
      </c>
      <c r="J15">
        <v>4</v>
      </c>
      <c r="K15">
        <v>3</v>
      </c>
      <c r="L15">
        <v>1</v>
      </c>
      <c r="M15">
        <v>2.2999999999999998</v>
      </c>
      <c r="N15">
        <v>1.1000000000000001</v>
      </c>
      <c r="O15">
        <v>1.1999999999999997</v>
      </c>
      <c r="P15">
        <v>0.19999999999999973</v>
      </c>
      <c r="Q15">
        <v>0</v>
      </c>
      <c r="R15">
        <v>0</v>
      </c>
      <c r="S15" t="s">
        <v>292</v>
      </c>
      <c r="T15">
        <v>0</v>
      </c>
      <c r="U15">
        <v>1.7000000000000002</v>
      </c>
      <c r="V15">
        <v>1.9</v>
      </c>
    </row>
    <row r="16" spans="1:22" x14ac:dyDescent="0.2">
      <c r="A16" t="s">
        <v>48</v>
      </c>
      <c r="B16">
        <v>15</v>
      </c>
      <c r="C16" s="1">
        <v>43274</v>
      </c>
      <c r="D16" t="s">
        <v>16</v>
      </c>
      <c r="E16">
        <v>2018</v>
      </c>
      <c r="F16" t="s">
        <v>17</v>
      </c>
      <c r="G16" t="s">
        <v>49</v>
      </c>
      <c r="H16" t="s">
        <v>33</v>
      </c>
      <c r="I16" t="s">
        <v>20</v>
      </c>
      <c r="J16">
        <v>2</v>
      </c>
      <c r="K16">
        <v>0</v>
      </c>
      <c r="L16">
        <v>2</v>
      </c>
      <c r="M16">
        <v>1.8</v>
      </c>
      <c r="N16">
        <v>0.5</v>
      </c>
      <c r="O16">
        <v>1.3</v>
      </c>
      <c r="P16">
        <v>-0.7</v>
      </c>
      <c r="Q16">
        <v>0</v>
      </c>
      <c r="R16">
        <v>0</v>
      </c>
      <c r="S16" t="s">
        <v>292</v>
      </c>
      <c r="T16">
        <v>0</v>
      </c>
      <c r="U16">
        <v>0.19999999999999996</v>
      </c>
      <c r="V16">
        <v>-0.5</v>
      </c>
    </row>
    <row r="17" spans="1:22" x14ac:dyDescent="0.2">
      <c r="A17" t="s">
        <v>50</v>
      </c>
      <c r="B17">
        <v>16</v>
      </c>
      <c r="C17" s="1">
        <v>43281</v>
      </c>
      <c r="D17" t="s">
        <v>16</v>
      </c>
      <c r="E17">
        <v>2018</v>
      </c>
      <c r="F17" t="s">
        <v>17</v>
      </c>
      <c r="G17" t="s">
        <v>51</v>
      </c>
      <c r="H17" t="s">
        <v>33</v>
      </c>
      <c r="I17" t="s">
        <v>20</v>
      </c>
      <c r="J17">
        <v>4</v>
      </c>
      <c r="K17">
        <v>1</v>
      </c>
      <c r="L17">
        <v>3</v>
      </c>
      <c r="M17">
        <v>2.6</v>
      </c>
      <c r="N17">
        <v>1.5</v>
      </c>
      <c r="O17">
        <v>1.1000000000000001</v>
      </c>
      <c r="P17">
        <v>-1.9</v>
      </c>
      <c r="Q17">
        <v>0</v>
      </c>
      <c r="R17">
        <v>0</v>
      </c>
      <c r="S17" t="s">
        <v>292</v>
      </c>
      <c r="T17">
        <v>0</v>
      </c>
      <c r="U17">
        <v>1.4</v>
      </c>
      <c r="V17">
        <v>-0.5</v>
      </c>
    </row>
    <row r="18" spans="1:22" x14ac:dyDescent="0.2">
      <c r="A18" t="s">
        <v>52</v>
      </c>
      <c r="B18">
        <v>17</v>
      </c>
      <c r="C18" s="1">
        <v>43284</v>
      </c>
      <c r="D18" t="s">
        <v>16</v>
      </c>
      <c r="E18">
        <v>2018</v>
      </c>
      <c r="F18" t="s">
        <v>17</v>
      </c>
      <c r="G18" t="s">
        <v>53</v>
      </c>
      <c r="H18" t="s">
        <v>19</v>
      </c>
      <c r="I18" t="s">
        <v>36</v>
      </c>
      <c r="J18">
        <v>2</v>
      </c>
      <c r="K18">
        <v>2</v>
      </c>
      <c r="L18">
        <v>0</v>
      </c>
      <c r="M18">
        <v>1.1000000000000001</v>
      </c>
      <c r="N18">
        <v>1.3</v>
      </c>
      <c r="O18">
        <v>-0.19999999999999996</v>
      </c>
      <c r="P18">
        <v>-0.19999999999999996</v>
      </c>
      <c r="Q18">
        <v>0</v>
      </c>
      <c r="R18">
        <v>0</v>
      </c>
      <c r="S18" t="s">
        <v>292</v>
      </c>
      <c r="T18">
        <v>0</v>
      </c>
      <c r="U18">
        <v>0.89999999999999991</v>
      </c>
      <c r="V18">
        <v>0.7</v>
      </c>
    </row>
    <row r="19" spans="1:22" x14ac:dyDescent="0.2">
      <c r="A19" t="s">
        <v>54</v>
      </c>
      <c r="B19">
        <v>18</v>
      </c>
      <c r="C19" s="1">
        <v>43288</v>
      </c>
      <c r="D19" t="s">
        <v>16</v>
      </c>
      <c r="E19">
        <v>2018</v>
      </c>
      <c r="F19" t="s">
        <v>17</v>
      </c>
      <c r="G19" t="s">
        <v>55</v>
      </c>
      <c r="H19" t="s">
        <v>33</v>
      </c>
      <c r="I19" t="s">
        <v>20</v>
      </c>
      <c r="J19">
        <v>4</v>
      </c>
      <c r="K19">
        <v>1</v>
      </c>
      <c r="L19">
        <v>3</v>
      </c>
      <c r="M19">
        <v>3.4</v>
      </c>
      <c r="N19">
        <v>1.6</v>
      </c>
      <c r="O19">
        <v>1.7999999999999998</v>
      </c>
      <c r="P19">
        <v>-1.2000000000000002</v>
      </c>
      <c r="Q19">
        <v>26</v>
      </c>
      <c r="R19">
        <v>1</v>
      </c>
      <c r="S19" t="s">
        <v>292</v>
      </c>
      <c r="T19">
        <v>0</v>
      </c>
      <c r="U19">
        <v>0.60000000000000009</v>
      </c>
      <c r="V19">
        <v>-0.60000000000000009</v>
      </c>
    </row>
    <row r="20" spans="1:22" x14ac:dyDescent="0.2">
      <c r="A20" t="s">
        <v>56</v>
      </c>
      <c r="B20">
        <v>19</v>
      </c>
      <c r="C20" s="1">
        <v>43296</v>
      </c>
      <c r="D20" t="s">
        <v>16</v>
      </c>
      <c r="E20">
        <v>2018</v>
      </c>
      <c r="F20" t="s">
        <v>17</v>
      </c>
      <c r="G20" t="s">
        <v>42</v>
      </c>
      <c r="H20" t="s">
        <v>33</v>
      </c>
      <c r="I20" t="s">
        <v>36</v>
      </c>
      <c r="J20">
        <v>0</v>
      </c>
      <c r="K20">
        <v>0</v>
      </c>
      <c r="L20">
        <v>0</v>
      </c>
      <c r="M20">
        <v>1.2</v>
      </c>
      <c r="N20">
        <v>0.8</v>
      </c>
      <c r="O20">
        <v>0.39999999999999991</v>
      </c>
      <c r="P20">
        <v>0.39999999999999991</v>
      </c>
      <c r="Q20">
        <v>90</v>
      </c>
      <c r="R20">
        <v>1</v>
      </c>
      <c r="S20" t="s">
        <v>292</v>
      </c>
      <c r="T20">
        <v>0</v>
      </c>
      <c r="U20">
        <v>-1.2</v>
      </c>
      <c r="V20">
        <v>-0.8</v>
      </c>
    </row>
    <row r="21" spans="1:22" x14ac:dyDescent="0.2">
      <c r="A21" t="s">
        <v>57</v>
      </c>
      <c r="B21">
        <v>20</v>
      </c>
      <c r="C21" s="1">
        <v>43303</v>
      </c>
      <c r="D21" t="s">
        <v>16</v>
      </c>
      <c r="E21">
        <v>2018</v>
      </c>
      <c r="F21" t="s">
        <v>17</v>
      </c>
      <c r="G21" t="s">
        <v>38</v>
      </c>
      <c r="H21" t="s">
        <v>19</v>
      </c>
      <c r="I21" t="s">
        <v>25</v>
      </c>
      <c r="J21">
        <v>1</v>
      </c>
      <c r="K21">
        <v>5</v>
      </c>
      <c r="L21">
        <v>-4</v>
      </c>
      <c r="M21">
        <v>0.6</v>
      </c>
      <c r="N21">
        <v>3.9</v>
      </c>
      <c r="O21">
        <v>-3.3</v>
      </c>
      <c r="P21">
        <v>0.70000000000000018</v>
      </c>
      <c r="Q21">
        <v>0</v>
      </c>
      <c r="R21">
        <v>0</v>
      </c>
      <c r="S21" t="s">
        <v>292</v>
      </c>
      <c r="T21">
        <v>0</v>
      </c>
      <c r="U21">
        <v>0.4</v>
      </c>
      <c r="V21">
        <v>1.1000000000000001</v>
      </c>
    </row>
    <row r="22" spans="1:22" x14ac:dyDescent="0.2">
      <c r="A22" t="s">
        <v>58</v>
      </c>
      <c r="B22">
        <v>21</v>
      </c>
      <c r="C22" s="1">
        <v>43307</v>
      </c>
      <c r="D22" t="s">
        <v>16</v>
      </c>
      <c r="E22">
        <v>2018</v>
      </c>
      <c r="F22" t="s">
        <v>17</v>
      </c>
      <c r="G22" t="s">
        <v>24</v>
      </c>
      <c r="H22" t="s">
        <v>33</v>
      </c>
      <c r="I22" t="s">
        <v>36</v>
      </c>
      <c r="J22">
        <v>2</v>
      </c>
      <c r="K22">
        <v>2</v>
      </c>
      <c r="L22">
        <v>0</v>
      </c>
      <c r="M22">
        <v>1.5</v>
      </c>
      <c r="N22">
        <v>2</v>
      </c>
      <c r="O22">
        <v>-0.5</v>
      </c>
      <c r="P22">
        <v>-0.5</v>
      </c>
      <c r="Q22">
        <v>90</v>
      </c>
      <c r="R22">
        <v>1</v>
      </c>
      <c r="S22" t="s">
        <v>292</v>
      </c>
      <c r="T22">
        <v>0</v>
      </c>
      <c r="U22">
        <v>0.5</v>
      </c>
      <c r="V22">
        <v>0</v>
      </c>
    </row>
    <row r="23" spans="1:22" x14ac:dyDescent="0.2">
      <c r="A23" t="s">
        <v>59</v>
      </c>
      <c r="B23">
        <v>22</v>
      </c>
      <c r="C23" s="1">
        <v>43317</v>
      </c>
      <c r="D23" t="s">
        <v>16</v>
      </c>
      <c r="E23">
        <v>2018</v>
      </c>
      <c r="F23" t="s">
        <v>17</v>
      </c>
      <c r="G23" t="s">
        <v>60</v>
      </c>
      <c r="H23" t="s">
        <v>19</v>
      </c>
      <c r="I23" t="s">
        <v>25</v>
      </c>
      <c r="J23">
        <v>1</v>
      </c>
      <c r="K23">
        <v>2</v>
      </c>
      <c r="L23">
        <v>-1</v>
      </c>
      <c r="M23">
        <v>1.7</v>
      </c>
      <c r="N23">
        <v>2.2999999999999998</v>
      </c>
      <c r="O23">
        <v>-0.59999999999999987</v>
      </c>
      <c r="P23">
        <v>0.40000000000000013</v>
      </c>
      <c r="Q23">
        <v>90</v>
      </c>
      <c r="R23">
        <v>1</v>
      </c>
      <c r="S23" t="s">
        <v>292</v>
      </c>
      <c r="T23">
        <v>0</v>
      </c>
      <c r="U23">
        <v>-0.7</v>
      </c>
      <c r="V23">
        <v>-0.29999999999999982</v>
      </c>
    </row>
    <row r="24" spans="1:22" x14ac:dyDescent="0.2">
      <c r="A24" t="s">
        <v>61</v>
      </c>
      <c r="B24">
        <v>23</v>
      </c>
      <c r="C24" s="1">
        <v>43323</v>
      </c>
      <c r="D24" t="s">
        <v>16</v>
      </c>
      <c r="E24">
        <v>2018</v>
      </c>
      <c r="F24" t="s">
        <v>17</v>
      </c>
      <c r="G24" t="s">
        <v>62</v>
      </c>
      <c r="H24" t="s">
        <v>33</v>
      </c>
      <c r="I24" t="s">
        <v>25</v>
      </c>
      <c r="J24">
        <v>0</v>
      </c>
      <c r="K24">
        <v>2</v>
      </c>
      <c r="L24">
        <v>-2</v>
      </c>
      <c r="M24">
        <v>1.8</v>
      </c>
      <c r="N24">
        <v>1.8</v>
      </c>
      <c r="O24">
        <v>0</v>
      </c>
      <c r="P24">
        <v>2</v>
      </c>
      <c r="Q24">
        <v>32</v>
      </c>
      <c r="R24">
        <v>1</v>
      </c>
      <c r="S24" t="s">
        <v>292</v>
      </c>
      <c r="T24">
        <v>0</v>
      </c>
      <c r="U24">
        <v>-1.8</v>
      </c>
      <c r="V24">
        <v>0.19999999999999996</v>
      </c>
    </row>
    <row r="25" spans="1:22" x14ac:dyDescent="0.2">
      <c r="A25" t="s">
        <v>63</v>
      </c>
      <c r="B25">
        <v>24</v>
      </c>
      <c r="C25" s="1">
        <v>43327</v>
      </c>
      <c r="D25" t="s">
        <v>16</v>
      </c>
      <c r="E25">
        <v>2018</v>
      </c>
      <c r="F25" t="s">
        <v>17</v>
      </c>
      <c r="G25" t="s">
        <v>22</v>
      </c>
      <c r="H25" t="s">
        <v>33</v>
      </c>
      <c r="I25" t="s">
        <v>20</v>
      </c>
      <c r="J25">
        <v>2</v>
      </c>
      <c r="K25">
        <v>0</v>
      </c>
      <c r="L25">
        <v>2</v>
      </c>
      <c r="M25">
        <v>1.8</v>
      </c>
      <c r="N25">
        <v>0.3</v>
      </c>
      <c r="O25">
        <v>1.5</v>
      </c>
      <c r="P25">
        <v>-0.5</v>
      </c>
      <c r="Q25">
        <v>90</v>
      </c>
      <c r="R25">
        <v>1</v>
      </c>
      <c r="S25" t="s">
        <v>292</v>
      </c>
      <c r="T25">
        <v>0</v>
      </c>
      <c r="U25">
        <v>0.19999999999999996</v>
      </c>
      <c r="V25">
        <v>-0.3</v>
      </c>
    </row>
    <row r="26" spans="1:22" x14ac:dyDescent="0.2">
      <c r="A26" t="s">
        <v>64</v>
      </c>
      <c r="B26">
        <v>25</v>
      </c>
      <c r="C26" s="1">
        <v>43331</v>
      </c>
      <c r="D26" t="s">
        <v>16</v>
      </c>
      <c r="E26">
        <v>2018</v>
      </c>
      <c r="F26" t="s">
        <v>17</v>
      </c>
      <c r="G26" t="s">
        <v>65</v>
      </c>
      <c r="H26" t="s">
        <v>33</v>
      </c>
      <c r="I26" t="s">
        <v>20</v>
      </c>
      <c r="J26">
        <v>2</v>
      </c>
      <c r="K26">
        <v>0</v>
      </c>
      <c r="L26">
        <v>2</v>
      </c>
      <c r="M26">
        <v>1</v>
      </c>
      <c r="N26">
        <v>0.9</v>
      </c>
      <c r="O26">
        <v>9.9999999999999978E-2</v>
      </c>
      <c r="P26">
        <v>-1.9</v>
      </c>
      <c r="Q26">
        <v>79</v>
      </c>
      <c r="R26">
        <v>1</v>
      </c>
      <c r="S26" t="s">
        <v>292</v>
      </c>
      <c r="T26">
        <v>0</v>
      </c>
      <c r="U26">
        <v>1</v>
      </c>
      <c r="V26">
        <v>-0.9</v>
      </c>
    </row>
    <row r="27" spans="1:22" x14ac:dyDescent="0.2">
      <c r="A27" t="s">
        <v>66</v>
      </c>
      <c r="B27">
        <v>26</v>
      </c>
      <c r="C27" s="1">
        <v>43336</v>
      </c>
      <c r="D27" t="s">
        <v>16</v>
      </c>
      <c r="E27">
        <v>2018</v>
      </c>
      <c r="F27" t="s">
        <v>17</v>
      </c>
      <c r="G27" t="s">
        <v>24</v>
      </c>
      <c r="H27" t="s">
        <v>19</v>
      </c>
      <c r="I27" t="s">
        <v>36</v>
      </c>
      <c r="J27">
        <v>1</v>
      </c>
      <c r="K27">
        <v>1</v>
      </c>
      <c r="L27">
        <v>0</v>
      </c>
      <c r="M27">
        <v>1.5</v>
      </c>
      <c r="N27">
        <v>1.3</v>
      </c>
      <c r="O27">
        <v>0.19999999999999996</v>
      </c>
      <c r="P27">
        <v>0.19999999999999996</v>
      </c>
      <c r="Q27">
        <v>90</v>
      </c>
      <c r="R27">
        <v>1</v>
      </c>
      <c r="S27" t="s">
        <v>292</v>
      </c>
      <c r="T27">
        <v>0</v>
      </c>
      <c r="U27">
        <v>-0.5</v>
      </c>
      <c r="V27">
        <v>-0.30000000000000004</v>
      </c>
    </row>
    <row r="28" spans="1:22" x14ac:dyDescent="0.2">
      <c r="A28" t="s">
        <v>67</v>
      </c>
      <c r="B28">
        <v>27</v>
      </c>
      <c r="C28" s="1">
        <v>43344</v>
      </c>
      <c r="D28" t="s">
        <v>16</v>
      </c>
      <c r="E28">
        <v>2018</v>
      </c>
      <c r="F28" t="s">
        <v>17</v>
      </c>
      <c r="G28" t="s">
        <v>68</v>
      </c>
      <c r="H28" t="s">
        <v>19</v>
      </c>
      <c r="I28" t="s">
        <v>20</v>
      </c>
      <c r="J28">
        <v>4</v>
      </c>
      <c r="K28">
        <v>2</v>
      </c>
      <c r="L28">
        <v>2</v>
      </c>
      <c r="M28">
        <v>1.6</v>
      </c>
      <c r="N28">
        <v>3.2</v>
      </c>
      <c r="O28">
        <v>-1.6</v>
      </c>
      <c r="P28">
        <v>-3.6</v>
      </c>
      <c r="Q28">
        <v>90</v>
      </c>
      <c r="R28">
        <v>1</v>
      </c>
      <c r="S28" t="s">
        <v>292</v>
      </c>
      <c r="T28">
        <v>0</v>
      </c>
      <c r="U28">
        <v>2.4</v>
      </c>
      <c r="V28">
        <v>-1.2000000000000002</v>
      </c>
    </row>
    <row r="29" spans="1:22" x14ac:dyDescent="0.2">
      <c r="A29" t="s">
        <v>69</v>
      </c>
      <c r="B29">
        <v>28</v>
      </c>
      <c r="C29" s="1">
        <v>43358</v>
      </c>
      <c r="D29" t="s">
        <v>16</v>
      </c>
      <c r="E29">
        <v>2018</v>
      </c>
      <c r="F29" t="s">
        <v>17</v>
      </c>
      <c r="G29" t="s">
        <v>70</v>
      </c>
      <c r="H29" t="s">
        <v>33</v>
      </c>
      <c r="I29" t="s">
        <v>36</v>
      </c>
      <c r="J29">
        <v>1</v>
      </c>
      <c r="K29">
        <v>1</v>
      </c>
      <c r="L29">
        <v>0</v>
      </c>
      <c r="M29">
        <v>1.6</v>
      </c>
      <c r="N29">
        <v>1.7</v>
      </c>
      <c r="O29">
        <v>-9.9999999999999867E-2</v>
      </c>
      <c r="P29">
        <v>-9.9999999999999867E-2</v>
      </c>
      <c r="Q29">
        <v>90</v>
      </c>
      <c r="R29">
        <v>1</v>
      </c>
      <c r="S29" t="s">
        <v>292</v>
      </c>
      <c r="T29">
        <v>0</v>
      </c>
      <c r="U29">
        <v>-0.60000000000000009</v>
      </c>
      <c r="V29">
        <v>-0.7</v>
      </c>
    </row>
    <row r="30" spans="1:22" x14ac:dyDescent="0.2">
      <c r="A30" t="s">
        <v>71</v>
      </c>
      <c r="B30">
        <v>29</v>
      </c>
      <c r="C30" s="1">
        <v>43365</v>
      </c>
      <c r="D30" t="s">
        <v>16</v>
      </c>
      <c r="E30">
        <v>2018</v>
      </c>
      <c r="F30" t="s">
        <v>17</v>
      </c>
      <c r="G30" t="s">
        <v>47</v>
      </c>
      <c r="H30" t="s">
        <v>33</v>
      </c>
      <c r="I30" t="s">
        <v>20</v>
      </c>
      <c r="J30">
        <v>2</v>
      </c>
      <c r="K30">
        <v>0</v>
      </c>
      <c r="L30">
        <v>2</v>
      </c>
      <c r="M30">
        <v>2.1</v>
      </c>
      <c r="N30">
        <v>0.2</v>
      </c>
      <c r="O30">
        <v>1.9000000000000001</v>
      </c>
      <c r="P30">
        <v>-9.9999999999999867E-2</v>
      </c>
      <c r="Q30">
        <v>81</v>
      </c>
      <c r="R30">
        <v>1</v>
      </c>
      <c r="S30" t="s">
        <v>292</v>
      </c>
      <c r="T30">
        <v>0</v>
      </c>
      <c r="U30">
        <v>-0.10000000000000009</v>
      </c>
      <c r="V30">
        <v>-0.2</v>
      </c>
    </row>
    <row r="31" spans="1:22" x14ac:dyDescent="0.2">
      <c r="A31" t="s">
        <v>72</v>
      </c>
      <c r="B31">
        <v>30</v>
      </c>
      <c r="C31" s="1">
        <v>43372</v>
      </c>
      <c r="D31" t="s">
        <v>16</v>
      </c>
      <c r="E31">
        <v>2018</v>
      </c>
      <c r="F31" t="s">
        <v>17</v>
      </c>
      <c r="G31" t="s">
        <v>73</v>
      </c>
      <c r="H31" t="s">
        <v>19</v>
      </c>
      <c r="I31" t="s">
        <v>25</v>
      </c>
      <c r="J31">
        <v>1</v>
      </c>
      <c r="K31">
        <v>3</v>
      </c>
      <c r="L31">
        <v>-2</v>
      </c>
      <c r="M31">
        <v>1.5</v>
      </c>
      <c r="N31">
        <v>1.1000000000000001</v>
      </c>
      <c r="O31">
        <v>0.39999999999999991</v>
      </c>
      <c r="P31">
        <v>2.4</v>
      </c>
      <c r="Q31">
        <v>90</v>
      </c>
      <c r="R31">
        <v>1</v>
      </c>
      <c r="S31" t="s">
        <v>292</v>
      </c>
      <c r="T31">
        <v>0</v>
      </c>
      <c r="U31">
        <v>-0.5</v>
      </c>
      <c r="V31">
        <v>1.9</v>
      </c>
    </row>
    <row r="32" spans="1:22" x14ac:dyDescent="0.2">
      <c r="A32" t="s">
        <v>74</v>
      </c>
      <c r="B32">
        <v>31</v>
      </c>
      <c r="C32" s="1">
        <v>43379</v>
      </c>
      <c r="D32" t="s">
        <v>16</v>
      </c>
      <c r="E32">
        <v>2018</v>
      </c>
      <c r="F32" t="s">
        <v>17</v>
      </c>
      <c r="G32" t="s">
        <v>65</v>
      </c>
      <c r="H32" t="s">
        <v>19</v>
      </c>
      <c r="I32" t="s">
        <v>20</v>
      </c>
      <c r="J32">
        <v>3</v>
      </c>
      <c r="K32">
        <v>0</v>
      </c>
      <c r="L32">
        <v>3</v>
      </c>
      <c r="M32">
        <v>2.9</v>
      </c>
      <c r="N32">
        <v>0.8</v>
      </c>
      <c r="O32">
        <v>2.0999999999999996</v>
      </c>
      <c r="P32">
        <v>-0.90000000000000036</v>
      </c>
      <c r="Q32">
        <v>90</v>
      </c>
      <c r="R32">
        <v>1</v>
      </c>
      <c r="S32" t="s">
        <v>292</v>
      </c>
      <c r="T32">
        <v>0</v>
      </c>
      <c r="U32">
        <v>0.10000000000000009</v>
      </c>
      <c r="V32">
        <v>-0.8</v>
      </c>
    </row>
    <row r="33" spans="1:22" x14ac:dyDescent="0.2">
      <c r="A33" t="s">
        <v>75</v>
      </c>
      <c r="B33">
        <v>32</v>
      </c>
      <c r="C33" s="1">
        <v>43385</v>
      </c>
      <c r="D33" t="s">
        <v>16</v>
      </c>
      <c r="E33">
        <v>2018</v>
      </c>
      <c r="F33" t="s">
        <v>17</v>
      </c>
      <c r="G33" t="s">
        <v>53</v>
      </c>
      <c r="H33" t="s">
        <v>33</v>
      </c>
      <c r="I33" t="s">
        <v>20</v>
      </c>
      <c r="J33">
        <v>4</v>
      </c>
      <c r="K33">
        <v>2</v>
      </c>
      <c r="L33">
        <v>2</v>
      </c>
      <c r="M33">
        <v>2.8</v>
      </c>
      <c r="N33">
        <v>1.2</v>
      </c>
      <c r="O33">
        <v>1.5999999999999999</v>
      </c>
      <c r="P33">
        <v>-0.40000000000000013</v>
      </c>
      <c r="Q33">
        <v>90</v>
      </c>
      <c r="R33">
        <v>1</v>
      </c>
      <c r="S33" t="s">
        <v>292</v>
      </c>
      <c r="T33">
        <v>0</v>
      </c>
      <c r="U33">
        <v>1.2000000000000002</v>
      </c>
      <c r="V33">
        <v>0.8</v>
      </c>
    </row>
    <row r="34" spans="1:22" x14ac:dyDescent="0.2">
      <c r="A34" t="s">
        <v>76</v>
      </c>
      <c r="B34">
        <v>33</v>
      </c>
      <c r="C34" s="1">
        <v>43394</v>
      </c>
      <c r="D34" t="s">
        <v>16</v>
      </c>
      <c r="E34">
        <v>2018</v>
      </c>
      <c r="F34" t="s">
        <v>17</v>
      </c>
      <c r="G34" t="s">
        <v>29</v>
      </c>
      <c r="H34" t="s">
        <v>33</v>
      </c>
      <c r="I34" t="s">
        <v>36</v>
      </c>
      <c r="J34">
        <v>2</v>
      </c>
      <c r="K34">
        <v>2</v>
      </c>
      <c r="L34">
        <v>0</v>
      </c>
      <c r="M34">
        <v>2.1</v>
      </c>
      <c r="N34">
        <v>1.6</v>
      </c>
      <c r="O34">
        <v>0.5</v>
      </c>
      <c r="P34">
        <v>0.5</v>
      </c>
      <c r="Q34">
        <v>90</v>
      </c>
      <c r="R34">
        <v>1</v>
      </c>
      <c r="S34" t="s">
        <v>292</v>
      </c>
      <c r="T34">
        <v>0</v>
      </c>
      <c r="U34">
        <v>-0.10000000000000009</v>
      </c>
      <c r="V34">
        <v>0.39999999999999991</v>
      </c>
    </row>
    <row r="35" spans="1:22" x14ac:dyDescent="0.2">
      <c r="A35" t="s">
        <v>77</v>
      </c>
      <c r="B35">
        <v>34</v>
      </c>
      <c r="C35" s="1">
        <v>43401</v>
      </c>
      <c r="D35" t="s">
        <v>16</v>
      </c>
      <c r="E35">
        <v>2018</v>
      </c>
      <c r="F35" t="s">
        <v>17</v>
      </c>
      <c r="G35" t="s">
        <v>62</v>
      </c>
      <c r="H35" t="s">
        <v>19</v>
      </c>
      <c r="I35" t="s">
        <v>25</v>
      </c>
      <c r="J35">
        <v>1</v>
      </c>
      <c r="K35">
        <v>2</v>
      </c>
      <c r="L35">
        <v>-1</v>
      </c>
      <c r="M35">
        <v>1.5</v>
      </c>
      <c r="N35">
        <v>0.8</v>
      </c>
      <c r="O35">
        <v>0.7</v>
      </c>
      <c r="P35">
        <v>1.7</v>
      </c>
      <c r="Q35">
        <v>90</v>
      </c>
      <c r="R35">
        <v>1</v>
      </c>
      <c r="S35" t="s">
        <v>292</v>
      </c>
      <c r="T35">
        <v>0</v>
      </c>
      <c r="U35">
        <v>-0.5</v>
      </c>
      <c r="V35">
        <v>1.2</v>
      </c>
    </row>
    <row r="36" spans="1:22" x14ac:dyDescent="0.2">
      <c r="A36" t="s">
        <v>78</v>
      </c>
      <c r="B36">
        <v>35</v>
      </c>
      <c r="C36" s="1">
        <v>43405</v>
      </c>
      <c r="D36" t="s">
        <v>16</v>
      </c>
      <c r="E36">
        <v>2018</v>
      </c>
      <c r="F36" t="s">
        <v>79</v>
      </c>
      <c r="G36" t="s">
        <v>22</v>
      </c>
      <c r="H36" t="s">
        <v>33</v>
      </c>
      <c r="I36" t="s">
        <v>25</v>
      </c>
      <c r="J36">
        <v>2</v>
      </c>
      <c r="K36">
        <v>3</v>
      </c>
      <c r="L36">
        <v>-1</v>
      </c>
      <c r="M36">
        <v>2.1</v>
      </c>
      <c r="N36">
        <v>0.5</v>
      </c>
      <c r="O36">
        <v>1.6</v>
      </c>
      <c r="P36">
        <v>2.6</v>
      </c>
      <c r="Q36">
        <v>90</v>
      </c>
      <c r="R36">
        <v>1</v>
      </c>
      <c r="S36" t="s">
        <v>292</v>
      </c>
      <c r="T36">
        <v>0</v>
      </c>
      <c r="U36">
        <v>-0.10000000000000009</v>
      </c>
      <c r="V36">
        <v>2.5</v>
      </c>
    </row>
    <row r="37" spans="1:22" x14ac:dyDescent="0.2">
      <c r="A37" t="s">
        <v>80</v>
      </c>
      <c r="B37">
        <v>1</v>
      </c>
      <c r="C37" s="1">
        <v>43527</v>
      </c>
      <c r="D37" t="s">
        <v>16</v>
      </c>
      <c r="E37">
        <v>2019</v>
      </c>
      <c r="F37" t="s">
        <v>17</v>
      </c>
      <c r="G37" t="s">
        <v>62</v>
      </c>
      <c r="H37" t="s">
        <v>33</v>
      </c>
      <c r="I37" t="s">
        <v>20</v>
      </c>
      <c r="J37">
        <v>2</v>
      </c>
      <c r="K37">
        <v>1</v>
      </c>
      <c r="L37">
        <v>1</v>
      </c>
      <c r="M37">
        <v>0.9</v>
      </c>
      <c r="N37">
        <v>0.7</v>
      </c>
      <c r="O37">
        <v>0.20000000000000007</v>
      </c>
      <c r="P37">
        <v>-0.79999999999999993</v>
      </c>
      <c r="Q37">
        <v>90</v>
      </c>
      <c r="R37">
        <v>1</v>
      </c>
      <c r="S37" t="s">
        <v>293</v>
      </c>
      <c r="T37">
        <v>0</v>
      </c>
      <c r="U37">
        <v>1.1000000000000001</v>
      </c>
      <c r="V37">
        <v>0.30000000000000004</v>
      </c>
    </row>
    <row r="38" spans="1:22" x14ac:dyDescent="0.2">
      <c r="A38" t="s">
        <v>81</v>
      </c>
      <c r="B38">
        <v>2</v>
      </c>
      <c r="C38" s="1">
        <v>43534</v>
      </c>
      <c r="D38" t="s">
        <v>16</v>
      </c>
      <c r="E38">
        <v>2019</v>
      </c>
      <c r="F38" t="s">
        <v>17</v>
      </c>
      <c r="G38" t="s">
        <v>42</v>
      </c>
      <c r="H38" t="s">
        <v>33</v>
      </c>
      <c r="I38" t="s">
        <v>20</v>
      </c>
      <c r="J38">
        <v>4</v>
      </c>
      <c r="K38">
        <v>1</v>
      </c>
      <c r="L38">
        <v>3</v>
      </c>
      <c r="M38">
        <v>3.4</v>
      </c>
      <c r="N38">
        <v>1.2</v>
      </c>
      <c r="O38">
        <v>2.2000000000000002</v>
      </c>
      <c r="P38">
        <v>-0.79999999999999982</v>
      </c>
      <c r="Q38">
        <v>90</v>
      </c>
      <c r="R38">
        <v>1</v>
      </c>
      <c r="S38" t="s">
        <v>293</v>
      </c>
      <c r="T38">
        <v>0</v>
      </c>
      <c r="U38">
        <v>0.60000000000000009</v>
      </c>
      <c r="V38">
        <v>-0.19999999999999996</v>
      </c>
    </row>
    <row r="39" spans="1:22" x14ac:dyDescent="0.2">
      <c r="A39" t="s">
        <v>82</v>
      </c>
      <c r="B39">
        <v>3</v>
      </c>
      <c r="C39" s="1">
        <v>43541</v>
      </c>
      <c r="D39" t="s">
        <v>16</v>
      </c>
      <c r="E39">
        <v>2019</v>
      </c>
      <c r="F39" t="s">
        <v>17</v>
      </c>
      <c r="G39" t="s">
        <v>40</v>
      </c>
      <c r="H39" t="s">
        <v>19</v>
      </c>
      <c r="I39" t="s">
        <v>36</v>
      </c>
      <c r="J39">
        <v>2</v>
      </c>
      <c r="K39">
        <v>2</v>
      </c>
      <c r="L39">
        <v>0</v>
      </c>
      <c r="M39">
        <v>2.4</v>
      </c>
      <c r="N39">
        <v>1.4</v>
      </c>
      <c r="O39">
        <v>1</v>
      </c>
      <c r="P39">
        <v>1</v>
      </c>
      <c r="Q39">
        <v>90</v>
      </c>
      <c r="R39">
        <v>1</v>
      </c>
      <c r="S39" t="s">
        <v>293</v>
      </c>
      <c r="T39">
        <v>0</v>
      </c>
      <c r="U39">
        <v>-0.39999999999999991</v>
      </c>
      <c r="V39">
        <v>0.60000000000000009</v>
      </c>
    </row>
    <row r="40" spans="1:22" x14ac:dyDescent="0.2">
      <c r="A40" t="s">
        <v>83</v>
      </c>
      <c r="B40">
        <v>4</v>
      </c>
      <c r="C40" s="1">
        <v>43547</v>
      </c>
      <c r="D40" t="s">
        <v>16</v>
      </c>
      <c r="E40">
        <v>2019</v>
      </c>
      <c r="F40" t="s">
        <v>17</v>
      </c>
      <c r="G40" t="s">
        <v>22</v>
      </c>
      <c r="H40" t="s">
        <v>33</v>
      </c>
      <c r="I40" t="s">
        <v>20</v>
      </c>
      <c r="J40">
        <v>2</v>
      </c>
      <c r="K40">
        <v>1</v>
      </c>
      <c r="L40">
        <v>1</v>
      </c>
      <c r="M40">
        <v>1</v>
      </c>
      <c r="N40">
        <v>0.9</v>
      </c>
      <c r="O40">
        <v>9.9999999999999978E-2</v>
      </c>
      <c r="P40">
        <v>-0.9</v>
      </c>
      <c r="Q40">
        <v>90</v>
      </c>
      <c r="R40">
        <v>1</v>
      </c>
      <c r="S40" t="s">
        <v>293</v>
      </c>
      <c r="T40">
        <v>0</v>
      </c>
      <c r="U40">
        <v>1</v>
      </c>
      <c r="V40">
        <v>9.9999999999999978E-2</v>
      </c>
    </row>
    <row r="41" spans="1:22" x14ac:dyDescent="0.2">
      <c r="A41" t="s">
        <v>84</v>
      </c>
      <c r="B41">
        <v>5</v>
      </c>
      <c r="C41" s="1">
        <v>43554</v>
      </c>
      <c r="D41" t="s">
        <v>16</v>
      </c>
      <c r="E41">
        <v>2019</v>
      </c>
      <c r="F41" t="s">
        <v>17</v>
      </c>
      <c r="G41" t="s">
        <v>47</v>
      </c>
      <c r="H41" t="s">
        <v>19</v>
      </c>
      <c r="I41" t="s">
        <v>20</v>
      </c>
      <c r="J41">
        <v>5</v>
      </c>
      <c r="K41">
        <v>0</v>
      </c>
      <c r="L41">
        <v>5</v>
      </c>
      <c r="M41">
        <v>3.6</v>
      </c>
      <c r="N41">
        <v>0.3</v>
      </c>
      <c r="O41">
        <v>3.3000000000000003</v>
      </c>
      <c r="P41">
        <v>-1.6999999999999997</v>
      </c>
      <c r="Q41">
        <v>90</v>
      </c>
      <c r="R41">
        <v>1</v>
      </c>
      <c r="S41" t="s">
        <v>293</v>
      </c>
      <c r="T41">
        <v>0</v>
      </c>
      <c r="U41">
        <v>1.4</v>
      </c>
      <c r="V41">
        <v>-0.3</v>
      </c>
    </row>
    <row r="42" spans="1:22" x14ac:dyDescent="0.2">
      <c r="A42" t="s">
        <v>85</v>
      </c>
      <c r="B42">
        <v>6</v>
      </c>
      <c r="C42" s="1">
        <v>43561</v>
      </c>
      <c r="D42" t="s">
        <v>16</v>
      </c>
      <c r="E42">
        <v>2019</v>
      </c>
      <c r="F42" t="s">
        <v>17</v>
      </c>
      <c r="G42" t="s">
        <v>44</v>
      </c>
      <c r="H42" t="s">
        <v>19</v>
      </c>
      <c r="I42" t="s">
        <v>20</v>
      </c>
      <c r="J42">
        <v>4</v>
      </c>
      <c r="K42">
        <v>0</v>
      </c>
      <c r="L42">
        <v>4</v>
      </c>
      <c r="M42">
        <v>2.2000000000000002</v>
      </c>
      <c r="N42">
        <v>0.9</v>
      </c>
      <c r="O42">
        <v>1.3000000000000003</v>
      </c>
      <c r="P42">
        <v>-2.6999999999999997</v>
      </c>
      <c r="Q42">
        <v>79</v>
      </c>
      <c r="R42">
        <v>1</v>
      </c>
      <c r="S42" t="s">
        <v>293</v>
      </c>
      <c r="T42">
        <v>0</v>
      </c>
      <c r="U42">
        <v>1.7999999999999998</v>
      </c>
      <c r="V42">
        <v>-0.9</v>
      </c>
    </row>
    <row r="43" spans="1:22" x14ac:dyDescent="0.2">
      <c r="A43" t="s">
        <v>86</v>
      </c>
      <c r="B43">
        <v>7</v>
      </c>
      <c r="C43" s="1">
        <v>43568</v>
      </c>
      <c r="D43" t="s">
        <v>16</v>
      </c>
      <c r="E43">
        <v>2019</v>
      </c>
      <c r="F43" t="s">
        <v>17</v>
      </c>
      <c r="G43" t="s">
        <v>87</v>
      </c>
      <c r="H43" t="s">
        <v>33</v>
      </c>
      <c r="I43" t="s">
        <v>20</v>
      </c>
      <c r="J43">
        <v>2</v>
      </c>
      <c r="K43">
        <v>0</v>
      </c>
      <c r="L43">
        <v>2</v>
      </c>
      <c r="M43">
        <v>2</v>
      </c>
      <c r="N43">
        <v>1.5</v>
      </c>
      <c r="O43">
        <v>0.5</v>
      </c>
      <c r="P43">
        <v>-1.5</v>
      </c>
      <c r="Q43">
        <v>90</v>
      </c>
      <c r="R43">
        <v>1</v>
      </c>
      <c r="S43" t="s">
        <v>293</v>
      </c>
      <c r="T43">
        <v>0</v>
      </c>
      <c r="U43">
        <v>0</v>
      </c>
      <c r="V43">
        <v>-1.5</v>
      </c>
    </row>
    <row r="44" spans="1:22" x14ac:dyDescent="0.2">
      <c r="A44" t="s">
        <v>88</v>
      </c>
      <c r="B44">
        <v>8</v>
      </c>
      <c r="C44" s="1">
        <v>43572</v>
      </c>
      <c r="D44" t="s">
        <v>16</v>
      </c>
      <c r="E44">
        <v>2019</v>
      </c>
      <c r="F44" t="s">
        <v>17</v>
      </c>
      <c r="G44" t="s">
        <v>29</v>
      </c>
      <c r="H44" t="s">
        <v>19</v>
      </c>
      <c r="I44" t="s">
        <v>25</v>
      </c>
      <c r="J44">
        <v>0</v>
      </c>
      <c r="K44">
        <v>1</v>
      </c>
      <c r="L44">
        <v>-1</v>
      </c>
      <c r="M44">
        <v>0.9</v>
      </c>
      <c r="N44">
        <v>0.9</v>
      </c>
      <c r="O44">
        <v>0</v>
      </c>
      <c r="P44">
        <v>1</v>
      </c>
      <c r="Q44">
        <v>90</v>
      </c>
      <c r="R44">
        <v>1</v>
      </c>
      <c r="S44" t="s">
        <v>293</v>
      </c>
      <c r="T44">
        <v>0</v>
      </c>
      <c r="U44">
        <v>-0.9</v>
      </c>
      <c r="V44">
        <v>9.9999999999999978E-2</v>
      </c>
    </row>
    <row r="45" spans="1:22" x14ac:dyDescent="0.2">
      <c r="A45" t="s">
        <v>89</v>
      </c>
      <c r="B45">
        <v>9</v>
      </c>
      <c r="C45" s="1">
        <v>43576</v>
      </c>
      <c r="D45" t="s">
        <v>16</v>
      </c>
      <c r="E45">
        <v>2019</v>
      </c>
      <c r="F45" t="s">
        <v>17</v>
      </c>
      <c r="G45" t="s">
        <v>18</v>
      </c>
      <c r="H45" t="s">
        <v>33</v>
      </c>
      <c r="I45" t="s">
        <v>20</v>
      </c>
      <c r="J45">
        <v>4</v>
      </c>
      <c r="K45">
        <v>1</v>
      </c>
      <c r="L45">
        <v>3</v>
      </c>
      <c r="M45">
        <v>3.2</v>
      </c>
      <c r="N45">
        <v>0.5</v>
      </c>
      <c r="O45">
        <v>2.7</v>
      </c>
      <c r="P45">
        <v>-0.29999999999999982</v>
      </c>
      <c r="Q45">
        <v>90</v>
      </c>
      <c r="R45">
        <v>1</v>
      </c>
      <c r="S45" t="s">
        <v>293</v>
      </c>
      <c r="T45">
        <v>0</v>
      </c>
      <c r="U45">
        <v>0.79999999999999982</v>
      </c>
      <c r="V45">
        <v>0.5</v>
      </c>
    </row>
    <row r="46" spans="1:22" x14ac:dyDescent="0.2">
      <c r="A46" t="s">
        <v>90</v>
      </c>
      <c r="B46">
        <v>10</v>
      </c>
      <c r="C46" s="1">
        <v>43583</v>
      </c>
      <c r="D46" t="s">
        <v>16</v>
      </c>
      <c r="E46">
        <v>2019</v>
      </c>
      <c r="F46" t="s">
        <v>17</v>
      </c>
      <c r="G46" t="s">
        <v>18</v>
      </c>
      <c r="H46" t="s">
        <v>19</v>
      </c>
      <c r="I46" t="s">
        <v>36</v>
      </c>
      <c r="J46">
        <v>1</v>
      </c>
      <c r="K46">
        <v>1</v>
      </c>
      <c r="L46">
        <v>0</v>
      </c>
      <c r="M46">
        <v>3.6</v>
      </c>
      <c r="N46">
        <v>0.5</v>
      </c>
      <c r="O46">
        <v>3.1</v>
      </c>
      <c r="P46">
        <v>3.1</v>
      </c>
      <c r="Q46">
        <v>90</v>
      </c>
      <c r="R46">
        <v>1</v>
      </c>
      <c r="S46" t="s">
        <v>293</v>
      </c>
      <c r="T46">
        <v>0</v>
      </c>
      <c r="U46">
        <v>-2.6</v>
      </c>
      <c r="V46">
        <v>0.5</v>
      </c>
    </row>
    <row r="47" spans="1:22" x14ac:dyDescent="0.2">
      <c r="A47" t="s">
        <v>91</v>
      </c>
      <c r="B47">
        <v>11</v>
      </c>
      <c r="C47" s="1">
        <v>43589</v>
      </c>
      <c r="D47" t="s">
        <v>16</v>
      </c>
      <c r="E47">
        <v>2019</v>
      </c>
      <c r="F47" t="s">
        <v>17</v>
      </c>
      <c r="G47" t="s">
        <v>73</v>
      </c>
      <c r="H47" t="s">
        <v>33</v>
      </c>
      <c r="I47" t="s">
        <v>36</v>
      </c>
      <c r="J47">
        <v>0</v>
      </c>
      <c r="K47">
        <v>0</v>
      </c>
      <c r="L47">
        <v>0</v>
      </c>
      <c r="M47">
        <v>2.5</v>
      </c>
      <c r="N47">
        <v>1</v>
      </c>
      <c r="O47">
        <v>1.5</v>
      </c>
      <c r="P47">
        <v>1.5</v>
      </c>
      <c r="Q47">
        <v>90</v>
      </c>
      <c r="R47">
        <v>1</v>
      </c>
      <c r="S47" t="s">
        <v>293</v>
      </c>
      <c r="T47">
        <v>0</v>
      </c>
      <c r="U47">
        <v>-2.5</v>
      </c>
      <c r="V47">
        <v>-1</v>
      </c>
    </row>
    <row r="48" spans="1:22" x14ac:dyDescent="0.2">
      <c r="A48" t="s">
        <v>92</v>
      </c>
      <c r="B48">
        <v>12</v>
      </c>
      <c r="C48" s="1">
        <v>43596</v>
      </c>
      <c r="D48" t="s">
        <v>16</v>
      </c>
      <c r="E48">
        <v>2019</v>
      </c>
      <c r="F48" t="s">
        <v>17</v>
      </c>
      <c r="G48" t="s">
        <v>49</v>
      </c>
      <c r="H48" t="s">
        <v>19</v>
      </c>
      <c r="I48" t="s">
        <v>20</v>
      </c>
      <c r="J48">
        <v>3</v>
      </c>
      <c r="K48">
        <v>0</v>
      </c>
      <c r="L48">
        <v>3</v>
      </c>
      <c r="M48">
        <v>2.2000000000000002</v>
      </c>
      <c r="N48">
        <v>0.8</v>
      </c>
      <c r="O48">
        <v>1.4000000000000001</v>
      </c>
      <c r="P48">
        <v>-1.5999999999999999</v>
      </c>
      <c r="Q48">
        <v>90</v>
      </c>
      <c r="R48">
        <v>1</v>
      </c>
      <c r="S48" t="s">
        <v>293</v>
      </c>
      <c r="T48">
        <v>0</v>
      </c>
      <c r="U48">
        <v>0.79999999999999982</v>
      </c>
      <c r="V48">
        <v>-0.8</v>
      </c>
    </row>
    <row r="49" spans="1:22" x14ac:dyDescent="0.2">
      <c r="A49" t="s">
        <v>93</v>
      </c>
      <c r="B49">
        <v>13</v>
      </c>
      <c r="C49" s="1">
        <v>43601</v>
      </c>
      <c r="D49" t="s">
        <v>16</v>
      </c>
      <c r="E49">
        <v>2019</v>
      </c>
      <c r="F49" t="s">
        <v>17</v>
      </c>
      <c r="G49" t="s">
        <v>35</v>
      </c>
      <c r="H49" t="s">
        <v>33</v>
      </c>
      <c r="I49" t="s">
        <v>20</v>
      </c>
      <c r="J49">
        <v>2</v>
      </c>
      <c r="K49">
        <v>0</v>
      </c>
      <c r="L49">
        <v>2</v>
      </c>
      <c r="M49">
        <v>3.5</v>
      </c>
      <c r="N49">
        <v>0.4</v>
      </c>
      <c r="O49">
        <v>3.1</v>
      </c>
      <c r="P49">
        <v>1.1000000000000001</v>
      </c>
      <c r="Q49">
        <v>90</v>
      </c>
      <c r="R49">
        <v>1</v>
      </c>
      <c r="S49" t="s">
        <v>293</v>
      </c>
      <c r="T49">
        <v>0</v>
      </c>
      <c r="U49">
        <v>-1.5</v>
      </c>
      <c r="V49">
        <v>-0.4</v>
      </c>
    </row>
    <row r="50" spans="1:22" x14ac:dyDescent="0.2">
      <c r="A50" t="s">
        <v>94</v>
      </c>
      <c r="B50">
        <v>14</v>
      </c>
      <c r="C50" s="1">
        <v>43604</v>
      </c>
      <c r="D50" t="s">
        <v>16</v>
      </c>
      <c r="E50">
        <v>2019</v>
      </c>
      <c r="F50" t="s">
        <v>17</v>
      </c>
      <c r="G50" t="s">
        <v>35</v>
      </c>
      <c r="H50" t="s">
        <v>19</v>
      </c>
      <c r="I50" t="s">
        <v>36</v>
      </c>
      <c r="J50">
        <v>1</v>
      </c>
      <c r="K50">
        <v>1</v>
      </c>
      <c r="L50">
        <v>0</v>
      </c>
      <c r="M50">
        <v>2.7</v>
      </c>
      <c r="N50">
        <v>0.9</v>
      </c>
      <c r="O50">
        <v>1.8000000000000003</v>
      </c>
      <c r="P50">
        <v>1.8000000000000003</v>
      </c>
      <c r="Q50">
        <v>90</v>
      </c>
      <c r="R50">
        <v>1</v>
      </c>
      <c r="S50" t="s">
        <v>293</v>
      </c>
      <c r="T50">
        <v>0</v>
      </c>
      <c r="U50">
        <v>-1.7000000000000002</v>
      </c>
      <c r="V50">
        <v>9.9999999999999978E-2</v>
      </c>
    </row>
    <row r="51" spans="1:22" x14ac:dyDescent="0.2">
      <c r="A51" t="s">
        <v>95</v>
      </c>
      <c r="B51">
        <v>15</v>
      </c>
      <c r="C51" s="1">
        <v>43609</v>
      </c>
      <c r="D51" t="s">
        <v>16</v>
      </c>
      <c r="E51">
        <v>2019</v>
      </c>
      <c r="F51" t="s">
        <v>17</v>
      </c>
      <c r="G51" t="s">
        <v>31</v>
      </c>
      <c r="H51" t="s">
        <v>33</v>
      </c>
      <c r="I51" t="s">
        <v>20</v>
      </c>
      <c r="J51">
        <v>4</v>
      </c>
      <c r="K51">
        <v>2</v>
      </c>
      <c r="L51">
        <v>2</v>
      </c>
      <c r="M51">
        <v>3.6</v>
      </c>
      <c r="N51">
        <v>1.4</v>
      </c>
      <c r="O51">
        <v>2.2000000000000002</v>
      </c>
      <c r="P51">
        <v>0.20000000000000018</v>
      </c>
      <c r="Q51">
        <v>90</v>
      </c>
      <c r="R51">
        <v>1</v>
      </c>
      <c r="S51" t="s">
        <v>293</v>
      </c>
      <c r="T51">
        <v>0</v>
      </c>
      <c r="U51">
        <v>0.39999999999999991</v>
      </c>
      <c r="V51">
        <v>0.60000000000000009</v>
      </c>
    </row>
    <row r="52" spans="1:22" x14ac:dyDescent="0.2">
      <c r="A52" t="s">
        <v>96</v>
      </c>
      <c r="B52">
        <v>16</v>
      </c>
      <c r="C52" s="1">
        <v>43617</v>
      </c>
      <c r="D52" t="s">
        <v>16</v>
      </c>
      <c r="E52">
        <v>2019</v>
      </c>
      <c r="F52" t="s">
        <v>17</v>
      </c>
      <c r="G52" t="s">
        <v>42</v>
      </c>
      <c r="H52" t="s">
        <v>19</v>
      </c>
      <c r="I52" t="s">
        <v>20</v>
      </c>
      <c r="J52">
        <v>3</v>
      </c>
      <c r="K52">
        <v>2</v>
      </c>
      <c r="L52">
        <v>1</v>
      </c>
      <c r="M52">
        <v>2.1</v>
      </c>
      <c r="N52">
        <v>2.1</v>
      </c>
      <c r="O52">
        <v>0</v>
      </c>
      <c r="P52">
        <v>-1</v>
      </c>
      <c r="Q52">
        <v>90</v>
      </c>
      <c r="R52">
        <v>1</v>
      </c>
      <c r="S52" t="s">
        <v>293</v>
      </c>
      <c r="T52">
        <v>0</v>
      </c>
      <c r="U52">
        <v>0.89999999999999991</v>
      </c>
      <c r="V52">
        <v>-0.10000000000000009</v>
      </c>
    </row>
    <row r="53" spans="1:22" x14ac:dyDescent="0.2">
      <c r="A53" t="s">
        <v>97</v>
      </c>
      <c r="B53">
        <v>17</v>
      </c>
      <c r="C53" s="1">
        <v>43644</v>
      </c>
      <c r="D53" t="s">
        <v>16</v>
      </c>
      <c r="E53">
        <v>2019</v>
      </c>
      <c r="F53" t="s">
        <v>17</v>
      </c>
      <c r="G53" t="s">
        <v>65</v>
      </c>
      <c r="H53" t="s">
        <v>19</v>
      </c>
      <c r="I53" t="s">
        <v>25</v>
      </c>
      <c r="J53">
        <v>0</v>
      </c>
      <c r="K53">
        <v>1</v>
      </c>
      <c r="L53">
        <v>-1</v>
      </c>
      <c r="M53">
        <v>0.9</v>
      </c>
      <c r="N53">
        <v>0.8</v>
      </c>
      <c r="O53">
        <v>9.9999999999999978E-2</v>
      </c>
      <c r="P53">
        <v>1.1000000000000001</v>
      </c>
      <c r="Q53">
        <v>90</v>
      </c>
      <c r="R53">
        <v>1</v>
      </c>
      <c r="S53" t="s">
        <v>293</v>
      </c>
      <c r="T53">
        <v>0</v>
      </c>
      <c r="U53">
        <v>-0.9</v>
      </c>
      <c r="V53">
        <v>0.19999999999999996</v>
      </c>
    </row>
    <row r="54" spans="1:22" x14ac:dyDescent="0.2">
      <c r="A54" t="s">
        <v>98</v>
      </c>
      <c r="B54">
        <v>18</v>
      </c>
      <c r="C54" s="1">
        <v>43649</v>
      </c>
      <c r="D54" t="s">
        <v>16</v>
      </c>
      <c r="E54">
        <v>2019</v>
      </c>
      <c r="F54" t="s">
        <v>17</v>
      </c>
      <c r="G54" t="s">
        <v>62</v>
      </c>
      <c r="H54" t="s">
        <v>19</v>
      </c>
      <c r="I54" t="s">
        <v>20</v>
      </c>
      <c r="J54">
        <v>5</v>
      </c>
      <c r="K54">
        <v>1</v>
      </c>
      <c r="L54">
        <v>4</v>
      </c>
      <c r="M54">
        <v>2.2999999999999998</v>
      </c>
      <c r="N54">
        <v>3.8</v>
      </c>
      <c r="O54">
        <v>-1.5</v>
      </c>
      <c r="P54">
        <v>-5.5</v>
      </c>
      <c r="Q54">
        <v>90</v>
      </c>
      <c r="R54">
        <v>1</v>
      </c>
      <c r="S54" t="s">
        <v>293</v>
      </c>
      <c r="T54">
        <v>0</v>
      </c>
      <c r="U54">
        <v>2.7</v>
      </c>
      <c r="V54">
        <v>-2.8</v>
      </c>
    </row>
    <row r="55" spans="1:22" x14ac:dyDescent="0.2">
      <c r="A55" t="s">
        <v>99</v>
      </c>
      <c r="B55">
        <v>19</v>
      </c>
      <c r="C55" s="1">
        <v>43652</v>
      </c>
      <c r="D55" t="s">
        <v>16</v>
      </c>
      <c r="E55">
        <v>2019</v>
      </c>
      <c r="F55" t="s">
        <v>17</v>
      </c>
      <c r="G55" t="s">
        <v>29</v>
      </c>
      <c r="H55" t="s">
        <v>33</v>
      </c>
      <c r="I55" t="s">
        <v>20</v>
      </c>
      <c r="J55">
        <v>6</v>
      </c>
      <c r="K55">
        <v>1</v>
      </c>
      <c r="L55">
        <v>5</v>
      </c>
      <c r="M55">
        <v>2.9</v>
      </c>
      <c r="N55">
        <v>0.4</v>
      </c>
      <c r="O55">
        <v>2.5</v>
      </c>
      <c r="P55">
        <v>-2.5</v>
      </c>
      <c r="Q55">
        <v>90</v>
      </c>
      <c r="R55">
        <v>1</v>
      </c>
      <c r="S55" t="s">
        <v>293</v>
      </c>
      <c r="T55">
        <v>0</v>
      </c>
      <c r="U55">
        <v>3.1</v>
      </c>
      <c r="V55">
        <v>0.6</v>
      </c>
    </row>
    <row r="56" spans="1:22" x14ac:dyDescent="0.2">
      <c r="A56" t="s">
        <v>100</v>
      </c>
      <c r="B56">
        <v>20</v>
      </c>
      <c r="C56" s="1">
        <v>43658</v>
      </c>
      <c r="D56" t="s">
        <v>16</v>
      </c>
      <c r="E56">
        <v>2019</v>
      </c>
      <c r="F56" t="s">
        <v>17</v>
      </c>
      <c r="G56" t="s">
        <v>53</v>
      </c>
      <c r="H56" t="s">
        <v>19</v>
      </c>
      <c r="I56" t="s">
        <v>20</v>
      </c>
      <c r="J56">
        <v>3</v>
      </c>
      <c r="K56">
        <v>1</v>
      </c>
      <c r="L56">
        <v>2</v>
      </c>
      <c r="M56">
        <v>1.5</v>
      </c>
      <c r="N56">
        <v>2.2000000000000002</v>
      </c>
      <c r="O56">
        <v>-0.70000000000000018</v>
      </c>
      <c r="P56">
        <v>-2.7</v>
      </c>
      <c r="Q56">
        <v>0</v>
      </c>
      <c r="R56">
        <v>0</v>
      </c>
      <c r="S56" t="s">
        <v>293</v>
      </c>
      <c r="T56">
        <v>0</v>
      </c>
      <c r="U56">
        <v>1.5</v>
      </c>
      <c r="V56">
        <v>-1.2000000000000002</v>
      </c>
    </row>
    <row r="57" spans="1:22" x14ac:dyDescent="0.2">
      <c r="A57" t="s">
        <v>101</v>
      </c>
      <c r="B57">
        <v>21</v>
      </c>
      <c r="C57" s="1">
        <v>43665</v>
      </c>
      <c r="D57" t="s">
        <v>16</v>
      </c>
      <c r="E57">
        <v>2019</v>
      </c>
      <c r="F57" t="s">
        <v>17</v>
      </c>
      <c r="G57" t="s">
        <v>24</v>
      </c>
      <c r="H57" t="s">
        <v>19</v>
      </c>
      <c r="I57" t="s">
        <v>25</v>
      </c>
      <c r="J57">
        <v>2</v>
      </c>
      <c r="K57">
        <v>3</v>
      </c>
      <c r="L57">
        <v>-1</v>
      </c>
      <c r="M57">
        <v>1.9</v>
      </c>
      <c r="N57">
        <v>0.9</v>
      </c>
      <c r="O57">
        <v>0.99999999999999989</v>
      </c>
      <c r="P57">
        <v>2</v>
      </c>
      <c r="Q57">
        <v>90</v>
      </c>
      <c r="R57">
        <v>1</v>
      </c>
      <c r="S57" t="s">
        <v>293</v>
      </c>
      <c r="T57">
        <v>0</v>
      </c>
      <c r="U57">
        <v>0.10000000000000009</v>
      </c>
      <c r="V57">
        <v>2.1</v>
      </c>
    </row>
    <row r="58" spans="1:22" x14ac:dyDescent="0.2">
      <c r="A58" t="s">
        <v>102</v>
      </c>
      <c r="B58">
        <v>22</v>
      </c>
      <c r="C58" s="1">
        <v>43672</v>
      </c>
      <c r="D58" t="s">
        <v>16</v>
      </c>
      <c r="E58">
        <v>2019</v>
      </c>
      <c r="F58" t="s">
        <v>17</v>
      </c>
      <c r="G58" t="s">
        <v>27</v>
      </c>
      <c r="H58" t="s">
        <v>33</v>
      </c>
      <c r="I58" t="s">
        <v>20</v>
      </c>
      <c r="J58">
        <v>4</v>
      </c>
      <c r="K58">
        <v>3</v>
      </c>
      <c r="L58">
        <v>1</v>
      </c>
      <c r="M58">
        <v>2.1</v>
      </c>
      <c r="N58">
        <v>1.1000000000000001</v>
      </c>
      <c r="O58">
        <v>1</v>
      </c>
      <c r="P58">
        <v>0</v>
      </c>
      <c r="Q58">
        <v>90</v>
      </c>
      <c r="R58">
        <v>1</v>
      </c>
      <c r="S58" t="s">
        <v>293</v>
      </c>
      <c r="T58">
        <v>0</v>
      </c>
      <c r="U58">
        <v>1.9</v>
      </c>
      <c r="V58">
        <v>1.9</v>
      </c>
    </row>
    <row r="59" spans="1:22" x14ac:dyDescent="0.2">
      <c r="A59" t="s">
        <v>103</v>
      </c>
      <c r="B59">
        <v>23</v>
      </c>
      <c r="C59" s="1">
        <v>43680</v>
      </c>
      <c r="D59" t="s">
        <v>16</v>
      </c>
      <c r="E59">
        <v>2019</v>
      </c>
      <c r="F59" t="s">
        <v>17</v>
      </c>
      <c r="G59" t="s">
        <v>70</v>
      </c>
      <c r="H59" t="s">
        <v>19</v>
      </c>
      <c r="I59" t="s">
        <v>20</v>
      </c>
      <c r="J59">
        <v>2</v>
      </c>
      <c r="K59">
        <v>0</v>
      </c>
      <c r="L59">
        <v>2</v>
      </c>
      <c r="M59">
        <v>3.1</v>
      </c>
      <c r="N59">
        <v>0.7</v>
      </c>
      <c r="O59">
        <v>2.4000000000000004</v>
      </c>
      <c r="P59">
        <v>0.40000000000000036</v>
      </c>
      <c r="Q59">
        <v>90</v>
      </c>
      <c r="R59">
        <v>1</v>
      </c>
      <c r="S59" t="s">
        <v>293</v>
      </c>
      <c r="T59">
        <v>0</v>
      </c>
      <c r="U59">
        <v>-1.1000000000000001</v>
      </c>
      <c r="V59">
        <v>-0.7</v>
      </c>
    </row>
    <row r="60" spans="1:22" x14ac:dyDescent="0.2">
      <c r="A60" t="s">
        <v>104</v>
      </c>
      <c r="B60">
        <v>24</v>
      </c>
      <c r="C60" s="1">
        <v>43688</v>
      </c>
      <c r="D60" t="s">
        <v>16</v>
      </c>
      <c r="E60">
        <v>2019</v>
      </c>
      <c r="F60" t="s">
        <v>17</v>
      </c>
      <c r="G60" t="s">
        <v>60</v>
      </c>
      <c r="H60" t="s">
        <v>33</v>
      </c>
      <c r="I60" t="s">
        <v>20</v>
      </c>
      <c r="J60">
        <v>4</v>
      </c>
      <c r="K60">
        <v>2</v>
      </c>
      <c r="L60">
        <v>2</v>
      </c>
      <c r="M60">
        <v>2.5</v>
      </c>
      <c r="N60">
        <v>1.8</v>
      </c>
      <c r="O60">
        <v>0.7</v>
      </c>
      <c r="P60">
        <v>-1.3</v>
      </c>
      <c r="Q60">
        <v>90</v>
      </c>
      <c r="R60">
        <v>1</v>
      </c>
      <c r="S60" t="s">
        <v>293</v>
      </c>
      <c r="T60">
        <v>0</v>
      </c>
      <c r="U60">
        <v>1.5</v>
      </c>
      <c r="V60">
        <v>0.19999999999999996</v>
      </c>
    </row>
    <row r="61" spans="1:22" x14ac:dyDescent="0.2">
      <c r="A61" t="s">
        <v>105</v>
      </c>
      <c r="B61">
        <v>25</v>
      </c>
      <c r="C61" s="1">
        <v>43694</v>
      </c>
      <c r="D61" t="s">
        <v>16</v>
      </c>
      <c r="E61">
        <v>2019</v>
      </c>
      <c r="F61" t="s">
        <v>17</v>
      </c>
      <c r="G61" t="s">
        <v>22</v>
      </c>
      <c r="H61" t="s">
        <v>19</v>
      </c>
      <c r="I61" t="s">
        <v>20</v>
      </c>
      <c r="J61">
        <v>2</v>
      </c>
      <c r="K61">
        <v>0</v>
      </c>
      <c r="L61">
        <v>2</v>
      </c>
      <c r="M61">
        <v>3</v>
      </c>
      <c r="N61">
        <v>0.7</v>
      </c>
      <c r="O61">
        <v>2.2999999999999998</v>
      </c>
      <c r="P61">
        <v>0.29999999999999982</v>
      </c>
      <c r="Q61">
        <v>90</v>
      </c>
      <c r="R61">
        <v>1</v>
      </c>
      <c r="S61" t="s">
        <v>293</v>
      </c>
      <c r="T61">
        <v>0</v>
      </c>
      <c r="U61">
        <v>-1</v>
      </c>
      <c r="V61">
        <v>-0.7</v>
      </c>
    </row>
    <row r="62" spans="1:22" x14ac:dyDescent="0.2">
      <c r="A62" t="s">
        <v>106</v>
      </c>
      <c r="B62">
        <v>26</v>
      </c>
      <c r="C62" s="1">
        <v>43698</v>
      </c>
      <c r="D62" t="s">
        <v>16</v>
      </c>
      <c r="E62">
        <v>2019</v>
      </c>
      <c r="F62" t="s">
        <v>17</v>
      </c>
      <c r="G62" t="s">
        <v>47</v>
      </c>
      <c r="H62" t="s">
        <v>33</v>
      </c>
      <c r="I62" t="s">
        <v>20</v>
      </c>
      <c r="J62">
        <v>4</v>
      </c>
      <c r="K62">
        <v>0</v>
      </c>
      <c r="L62">
        <v>4</v>
      </c>
      <c r="M62">
        <v>3.8</v>
      </c>
      <c r="N62">
        <v>1.8</v>
      </c>
      <c r="O62">
        <v>1.9999999999999998</v>
      </c>
      <c r="P62">
        <v>-2</v>
      </c>
      <c r="Q62">
        <v>90</v>
      </c>
      <c r="R62">
        <v>1</v>
      </c>
      <c r="S62" t="s">
        <v>293</v>
      </c>
      <c r="T62">
        <v>0</v>
      </c>
      <c r="U62">
        <v>0.20000000000000018</v>
      </c>
      <c r="V62">
        <v>-1.8</v>
      </c>
    </row>
    <row r="63" spans="1:22" x14ac:dyDescent="0.2">
      <c r="A63" t="s">
        <v>107</v>
      </c>
      <c r="B63">
        <v>27</v>
      </c>
      <c r="C63" s="1">
        <v>43702</v>
      </c>
      <c r="D63" t="s">
        <v>16</v>
      </c>
      <c r="E63">
        <v>2019</v>
      </c>
      <c r="F63" t="s">
        <v>17</v>
      </c>
      <c r="G63" t="s">
        <v>24</v>
      </c>
      <c r="H63" t="s">
        <v>33</v>
      </c>
      <c r="I63" t="s">
        <v>36</v>
      </c>
      <c r="J63">
        <v>3</v>
      </c>
      <c r="K63">
        <v>3</v>
      </c>
      <c r="L63">
        <v>0</v>
      </c>
      <c r="M63">
        <v>3.9</v>
      </c>
      <c r="N63">
        <v>1.4</v>
      </c>
      <c r="O63">
        <v>2.5</v>
      </c>
      <c r="P63">
        <v>2.5</v>
      </c>
      <c r="Q63">
        <v>61</v>
      </c>
      <c r="R63">
        <v>1</v>
      </c>
      <c r="S63" t="s">
        <v>293</v>
      </c>
      <c r="T63">
        <v>0</v>
      </c>
      <c r="U63">
        <v>-0.89999999999999991</v>
      </c>
      <c r="V63">
        <v>1.6</v>
      </c>
    </row>
    <row r="64" spans="1:22" x14ac:dyDescent="0.2">
      <c r="A64" t="s">
        <v>108</v>
      </c>
      <c r="B64">
        <v>28</v>
      </c>
      <c r="C64" s="1">
        <v>43709</v>
      </c>
      <c r="D64" t="s">
        <v>16</v>
      </c>
      <c r="E64">
        <v>2019</v>
      </c>
      <c r="F64" t="s">
        <v>17</v>
      </c>
      <c r="G64" t="s">
        <v>38</v>
      </c>
      <c r="H64" t="s">
        <v>33</v>
      </c>
      <c r="I64" t="s">
        <v>25</v>
      </c>
      <c r="J64">
        <v>0</v>
      </c>
      <c r="K64">
        <v>2</v>
      </c>
      <c r="L64">
        <v>-2</v>
      </c>
      <c r="M64">
        <v>2.1</v>
      </c>
      <c r="N64">
        <v>0.8</v>
      </c>
      <c r="O64">
        <v>1.3</v>
      </c>
      <c r="P64">
        <v>3.3</v>
      </c>
      <c r="Q64">
        <v>0</v>
      </c>
      <c r="R64">
        <v>0</v>
      </c>
      <c r="S64" t="s">
        <v>293</v>
      </c>
      <c r="T64">
        <v>0</v>
      </c>
      <c r="U64">
        <v>-2.1</v>
      </c>
      <c r="V64">
        <v>1.2</v>
      </c>
    </row>
    <row r="65" spans="1:22" x14ac:dyDescent="0.2">
      <c r="A65" t="s">
        <v>109</v>
      </c>
      <c r="B65">
        <v>29</v>
      </c>
      <c r="C65" s="1">
        <v>43715</v>
      </c>
      <c r="D65" t="s">
        <v>16</v>
      </c>
      <c r="E65">
        <v>2019</v>
      </c>
      <c r="F65" t="s">
        <v>17</v>
      </c>
      <c r="G65" t="s">
        <v>55</v>
      </c>
      <c r="H65" t="s">
        <v>19</v>
      </c>
      <c r="I65" t="s">
        <v>36</v>
      </c>
      <c r="J65">
        <v>2</v>
      </c>
      <c r="K65">
        <v>2</v>
      </c>
      <c r="L65">
        <v>0</v>
      </c>
      <c r="M65">
        <v>1.5</v>
      </c>
      <c r="N65">
        <v>1.5</v>
      </c>
      <c r="O65">
        <v>0</v>
      </c>
      <c r="P65">
        <v>0</v>
      </c>
      <c r="Q65">
        <v>0</v>
      </c>
      <c r="R65">
        <v>0</v>
      </c>
      <c r="S65" t="s">
        <v>293</v>
      </c>
      <c r="T65">
        <v>0</v>
      </c>
      <c r="U65">
        <v>0.5</v>
      </c>
      <c r="V65">
        <v>0.5</v>
      </c>
    </row>
    <row r="66" spans="1:22" x14ac:dyDescent="0.2">
      <c r="A66" t="s">
        <v>110</v>
      </c>
      <c r="B66">
        <v>30</v>
      </c>
      <c r="C66" s="1">
        <v>43722</v>
      </c>
      <c r="D66" t="s">
        <v>16</v>
      </c>
      <c r="E66">
        <v>2019</v>
      </c>
      <c r="F66" t="s">
        <v>17</v>
      </c>
      <c r="G66" t="s">
        <v>51</v>
      </c>
      <c r="H66" t="s">
        <v>19</v>
      </c>
      <c r="I66" t="s">
        <v>36</v>
      </c>
      <c r="J66">
        <v>1</v>
      </c>
      <c r="K66">
        <v>1</v>
      </c>
      <c r="L66">
        <v>0</v>
      </c>
      <c r="M66">
        <v>1.9</v>
      </c>
      <c r="N66">
        <v>1.2</v>
      </c>
      <c r="O66">
        <v>0.7</v>
      </c>
      <c r="P66">
        <v>0.7</v>
      </c>
      <c r="Q66">
        <v>66</v>
      </c>
      <c r="R66">
        <v>1</v>
      </c>
      <c r="S66" t="s">
        <v>293</v>
      </c>
      <c r="T66">
        <v>0</v>
      </c>
      <c r="U66">
        <v>-0.89999999999999991</v>
      </c>
      <c r="V66">
        <v>-0.19999999999999996</v>
      </c>
    </row>
    <row r="67" spans="1:22" x14ac:dyDescent="0.2">
      <c r="A67" t="s">
        <v>111</v>
      </c>
      <c r="B67">
        <v>31</v>
      </c>
      <c r="C67" s="1">
        <v>43729</v>
      </c>
      <c r="D67" t="s">
        <v>16</v>
      </c>
      <c r="E67">
        <v>2019</v>
      </c>
      <c r="F67" t="s">
        <v>17</v>
      </c>
      <c r="G67" t="s">
        <v>68</v>
      </c>
      <c r="H67" t="s">
        <v>33</v>
      </c>
      <c r="I67" t="s">
        <v>36</v>
      </c>
      <c r="J67">
        <v>1</v>
      </c>
      <c r="K67">
        <v>1</v>
      </c>
      <c r="L67">
        <v>0</v>
      </c>
      <c r="M67">
        <v>1.8</v>
      </c>
      <c r="N67">
        <v>0.6</v>
      </c>
      <c r="O67">
        <v>1.2000000000000002</v>
      </c>
      <c r="P67">
        <v>1.2000000000000002</v>
      </c>
      <c r="Q67">
        <v>90</v>
      </c>
      <c r="R67">
        <v>1</v>
      </c>
      <c r="S67" t="s">
        <v>293</v>
      </c>
      <c r="T67">
        <v>0</v>
      </c>
      <c r="U67">
        <v>-0.8</v>
      </c>
      <c r="V67">
        <v>0.4</v>
      </c>
    </row>
    <row r="68" spans="1:22" x14ac:dyDescent="0.2">
      <c r="A68" t="s">
        <v>112</v>
      </c>
      <c r="B68">
        <v>32</v>
      </c>
      <c r="C68" s="1">
        <v>43733</v>
      </c>
      <c r="D68" t="s">
        <v>16</v>
      </c>
      <c r="E68">
        <v>2019</v>
      </c>
      <c r="F68" t="s">
        <v>17</v>
      </c>
      <c r="G68" t="s">
        <v>53</v>
      </c>
      <c r="H68" t="s">
        <v>33</v>
      </c>
      <c r="I68" t="s">
        <v>20</v>
      </c>
      <c r="J68">
        <v>3</v>
      </c>
      <c r="K68">
        <v>1</v>
      </c>
      <c r="L68">
        <v>2</v>
      </c>
      <c r="M68">
        <v>1.9</v>
      </c>
      <c r="N68">
        <v>0.7</v>
      </c>
      <c r="O68">
        <v>1.2</v>
      </c>
      <c r="P68">
        <v>-0.8</v>
      </c>
      <c r="Q68">
        <v>90</v>
      </c>
      <c r="R68">
        <v>1</v>
      </c>
      <c r="S68" t="s">
        <v>293</v>
      </c>
      <c r="T68">
        <v>0</v>
      </c>
      <c r="U68">
        <v>1.1000000000000001</v>
      </c>
      <c r="V68">
        <v>0.30000000000000004</v>
      </c>
    </row>
    <row r="69" spans="1:22" x14ac:dyDescent="0.2">
      <c r="A69" t="s">
        <v>113</v>
      </c>
      <c r="B69">
        <v>33</v>
      </c>
      <c r="C69" s="1">
        <v>43737</v>
      </c>
      <c r="D69" t="s">
        <v>16</v>
      </c>
      <c r="E69">
        <v>2019</v>
      </c>
      <c r="F69" t="s">
        <v>17</v>
      </c>
      <c r="G69" t="s">
        <v>38</v>
      </c>
      <c r="H69" t="s">
        <v>19</v>
      </c>
      <c r="I69" t="s">
        <v>36</v>
      </c>
      <c r="J69">
        <v>1</v>
      </c>
      <c r="K69">
        <v>1</v>
      </c>
      <c r="L69">
        <v>0</v>
      </c>
      <c r="M69">
        <v>1.7</v>
      </c>
      <c r="N69">
        <v>2.1</v>
      </c>
      <c r="O69">
        <v>-0.40000000000000013</v>
      </c>
      <c r="P69">
        <v>-0.40000000000000013</v>
      </c>
      <c r="Q69">
        <v>90</v>
      </c>
      <c r="R69">
        <v>1</v>
      </c>
      <c r="S69" t="s">
        <v>293</v>
      </c>
      <c r="T69">
        <v>0</v>
      </c>
      <c r="U69">
        <v>-0.7</v>
      </c>
      <c r="V69">
        <v>-1.1000000000000001</v>
      </c>
    </row>
    <row r="70" spans="1:22" x14ac:dyDescent="0.2">
      <c r="A70" t="s">
        <v>114</v>
      </c>
      <c r="B70">
        <v>34</v>
      </c>
      <c r="C70" s="1">
        <v>43744</v>
      </c>
      <c r="D70" t="s">
        <v>16</v>
      </c>
      <c r="E70">
        <v>2019</v>
      </c>
      <c r="F70" t="s">
        <v>17</v>
      </c>
      <c r="G70" t="s">
        <v>65</v>
      </c>
      <c r="H70" t="s">
        <v>33</v>
      </c>
      <c r="I70" t="s">
        <v>20</v>
      </c>
      <c r="J70">
        <v>3</v>
      </c>
      <c r="K70">
        <v>1</v>
      </c>
      <c r="L70">
        <v>2</v>
      </c>
      <c r="M70">
        <v>1.3</v>
      </c>
      <c r="N70">
        <v>1.5</v>
      </c>
      <c r="O70">
        <v>-0.19999999999999996</v>
      </c>
      <c r="P70">
        <v>-2.2000000000000002</v>
      </c>
      <c r="Q70">
        <v>90</v>
      </c>
      <c r="R70">
        <v>1</v>
      </c>
      <c r="S70" t="s">
        <v>293</v>
      </c>
      <c r="T70">
        <v>0</v>
      </c>
      <c r="U70">
        <v>1.7</v>
      </c>
      <c r="V70">
        <v>-0.5</v>
      </c>
    </row>
    <row r="71" spans="1:22" x14ac:dyDescent="0.2">
      <c r="A71" t="s">
        <v>115</v>
      </c>
      <c r="B71">
        <v>35</v>
      </c>
      <c r="C71" s="1">
        <v>43762</v>
      </c>
      <c r="D71" t="s">
        <v>16</v>
      </c>
      <c r="E71">
        <v>2019</v>
      </c>
      <c r="F71" t="s">
        <v>116</v>
      </c>
      <c r="G71" t="s">
        <v>24</v>
      </c>
      <c r="H71" t="s">
        <v>33</v>
      </c>
      <c r="I71" t="s">
        <v>20</v>
      </c>
      <c r="J71">
        <v>5</v>
      </c>
      <c r="K71">
        <v>3</v>
      </c>
      <c r="L71">
        <v>2</v>
      </c>
      <c r="M71">
        <v>3.1</v>
      </c>
      <c r="N71">
        <v>1.7</v>
      </c>
      <c r="O71">
        <v>1.4000000000000001</v>
      </c>
      <c r="P71">
        <v>-0.59999999999999987</v>
      </c>
      <c r="Q71">
        <v>90</v>
      </c>
      <c r="R71">
        <v>1</v>
      </c>
      <c r="S71" t="s">
        <v>293</v>
      </c>
      <c r="T71">
        <v>0</v>
      </c>
      <c r="U71">
        <v>1.9</v>
      </c>
      <c r="V71">
        <v>1.3</v>
      </c>
    </row>
    <row r="72" spans="1:22" x14ac:dyDescent="0.2">
      <c r="A72" t="s">
        <v>117</v>
      </c>
      <c r="B72">
        <v>36</v>
      </c>
      <c r="C72" s="1">
        <v>43767</v>
      </c>
      <c r="D72" t="s">
        <v>16</v>
      </c>
      <c r="E72">
        <v>2019</v>
      </c>
      <c r="F72" t="s">
        <v>118</v>
      </c>
      <c r="G72" t="s">
        <v>18</v>
      </c>
      <c r="H72" t="s">
        <v>33</v>
      </c>
      <c r="I72" t="s">
        <v>25</v>
      </c>
      <c r="J72">
        <v>1</v>
      </c>
      <c r="K72">
        <v>3</v>
      </c>
      <c r="L72">
        <v>-2</v>
      </c>
      <c r="M72">
        <v>0.7</v>
      </c>
      <c r="N72">
        <v>1.2</v>
      </c>
      <c r="O72">
        <v>-0.5</v>
      </c>
      <c r="P72">
        <v>1.5</v>
      </c>
      <c r="Q72">
        <v>90</v>
      </c>
      <c r="R72">
        <v>1</v>
      </c>
      <c r="S72" t="s">
        <v>293</v>
      </c>
      <c r="T72">
        <v>0</v>
      </c>
      <c r="U72">
        <v>0.30000000000000004</v>
      </c>
      <c r="V72">
        <v>1.8</v>
      </c>
    </row>
    <row r="73" spans="1:22" x14ac:dyDescent="0.2">
      <c r="A73" t="s">
        <v>119</v>
      </c>
      <c r="B73">
        <v>1</v>
      </c>
      <c r="C73" s="1">
        <v>43891</v>
      </c>
      <c r="D73" t="s">
        <v>16</v>
      </c>
      <c r="E73">
        <v>2020</v>
      </c>
      <c r="F73" t="s">
        <v>17</v>
      </c>
      <c r="G73" t="s">
        <v>120</v>
      </c>
      <c r="H73" t="s">
        <v>33</v>
      </c>
      <c r="I73" t="s">
        <v>20</v>
      </c>
      <c r="J73">
        <v>1</v>
      </c>
      <c r="K73">
        <v>0</v>
      </c>
      <c r="L73">
        <v>1</v>
      </c>
      <c r="M73">
        <v>2.5</v>
      </c>
      <c r="N73">
        <v>1.7</v>
      </c>
      <c r="O73">
        <v>0.8</v>
      </c>
      <c r="P73">
        <v>-0.19999999999999996</v>
      </c>
      <c r="Q73">
        <v>90</v>
      </c>
      <c r="R73">
        <v>1</v>
      </c>
      <c r="S73" t="s">
        <v>294</v>
      </c>
      <c r="T73">
        <v>0</v>
      </c>
      <c r="U73">
        <v>-1.5</v>
      </c>
      <c r="V73">
        <v>-1.7</v>
      </c>
    </row>
    <row r="74" spans="1:22" x14ac:dyDescent="0.2">
      <c r="A74" t="s">
        <v>121</v>
      </c>
      <c r="B74">
        <v>2</v>
      </c>
      <c r="C74" s="1">
        <v>43898</v>
      </c>
      <c r="D74" t="s">
        <v>16</v>
      </c>
      <c r="E74">
        <v>2020</v>
      </c>
      <c r="F74" t="s">
        <v>17</v>
      </c>
      <c r="G74" t="s">
        <v>51</v>
      </c>
      <c r="H74" t="s">
        <v>33</v>
      </c>
      <c r="I74" t="s">
        <v>36</v>
      </c>
      <c r="J74">
        <v>3</v>
      </c>
      <c r="K74">
        <v>3</v>
      </c>
      <c r="L74">
        <v>0</v>
      </c>
      <c r="M74">
        <v>2.8</v>
      </c>
      <c r="N74">
        <v>1</v>
      </c>
      <c r="O74">
        <v>1.7999999999999998</v>
      </c>
      <c r="P74">
        <v>1.7999999999999998</v>
      </c>
      <c r="Q74">
        <v>90</v>
      </c>
      <c r="R74">
        <v>1</v>
      </c>
      <c r="S74" t="s">
        <v>294</v>
      </c>
      <c r="T74">
        <v>0</v>
      </c>
      <c r="U74">
        <v>0.20000000000000018</v>
      </c>
      <c r="V74">
        <v>2</v>
      </c>
    </row>
    <row r="75" spans="1:22" x14ac:dyDescent="0.2">
      <c r="A75" t="s">
        <v>122</v>
      </c>
      <c r="B75">
        <v>3</v>
      </c>
      <c r="C75" s="1">
        <v>44025</v>
      </c>
      <c r="D75" t="s">
        <v>16</v>
      </c>
      <c r="E75">
        <v>2020</v>
      </c>
      <c r="F75" t="s">
        <v>123</v>
      </c>
      <c r="G75" t="s">
        <v>53</v>
      </c>
      <c r="H75" t="s">
        <v>33</v>
      </c>
      <c r="I75" t="s">
        <v>36</v>
      </c>
      <c r="J75">
        <v>3</v>
      </c>
      <c r="K75">
        <v>3</v>
      </c>
      <c r="L75">
        <v>0</v>
      </c>
      <c r="M75">
        <v>2.5</v>
      </c>
      <c r="N75">
        <v>1.5</v>
      </c>
      <c r="O75">
        <v>1</v>
      </c>
      <c r="P75">
        <v>1</v>
      </c>
      <c r="Q75">
        <v>0</v>
      </c>
      <c r="R75">
        <v>0</v>
      </c>
      <c r="S75" t="s">
        <v>294</v>
      </c>
      <c r="T75">
        <v>0</v>
      </c>
      <c r="U75">
        <v>0.5</v>
      </c>
      <c r="V75">
        <v>1.5</v>
      </c>
    </row>
    <row r="76" spans="1:22" x14ac:dyDescent="0.2">
      <c r="A76" t="s">
        <v>124</v>
      </c>
      <c r="B76">
        <v>4</v>
      </c>
      <c r="C76" s="1">
        <v>44030</v>
      </c>
      <c r="D76" t="s">
        <v>16</v>
      </c>
      <c r="E76">
        <v>2020</v>
      </c>
      <c r="F76" t="s">
        <v>123</v>
      </c>
      <c r="G76" t="s">
        <v>24</v>
      </c>
      <c r="H76" t="s">
        <v>33</v>
      </c>
      <c r="I76" t="s">
        <v>20</v>
      </c>
      <c r="J76">
        <v>6</v>
      </c>
      <c r="K76">
        <v>2</v>
      </c>
      <c r="L76">
        <v>4</v>
      </c>
      <c r="M76">
        <v>3.3</v>
      </c>
      <c r="N76">
        <v>1</v>
      </c>
      <c r="O76">
        <v>2.2999999999999998</v>
      </c>
      <c r="P76">
        <v>-1.7000000000000002</v>
      </c>
      <c r="Q76">
        <v>0</v>
      </c>
      <c r="R76">
        <v>0</v>
      </c>
      <c r="S76" t="s">
        <v>294</v>
      </c>
      <c r="T76">
        <v>0</v>
      </c>
      <c r="U76">
        <v>2.7</v>
      </c>
      <c r="V76">
        <v>1</v>
      </c>
    </row>
    <row r="77" spans="1:22" x14ac:dyDescent="0.2">
      <c r="A77" t="s">
        <v>125</v>
      </c>
      <c r="B77">
        <v>5</v>
      </c>
      <c r="C77" s="1">
        <v>44035</v>
      </c>
      <c r="D77" t="s">
        <v>16</v>
      </c>
      <c r="E77">
        <v>2020</v>
      </c>
      <c r="F77" t="s">
        <v>123</v>
      </c>
      <c r="G77" t="s">
        <v>42</v>
      </c>
      <c r="H77" t="s">
        <v>33</v>
      </c>
      <c r="I77" t="s">
        <v>36</v>
      </c>
      <c r="J77">
        <v>2</v>
      </c>
      <c r="K77">
        <v>2</v>
      </c>
      <c r="L77">
        <v>0</v>
      </c>
      <c r="M77">
        <v>1</v>
      </c>
      <c r="N77">
        <v>1.9</v>
      </c>
      <c r="O77">
        <v>-0.89999999999999991</v>
      </c>
      <c r="P77">
        <v>-0.89999999999999991</v>
      </c>
      <c r="Q77">
        <v>0</v>
      </c>
      <c r="R77">
        <v>0</v>
      </c>
      <c r="S77" t="s">
        <v>294</v>
      </c>
      <c r="T77">
        <v>0</v>
      </c>
      <c r="U77">
        <v>1</v>
      </c>
      <c r="V77">
        <v>0.10000000000000009</v>
      </c>
    </row>
    <row r="78" spans="1:22" x14ac:dyDescent="0.2">
      <c r="A78" t="s">
        <v>126</v>
      </c>
      <c r="B78">
        <v>6</v>
      </c>
      <c r="C78" s="1">
        <v>44065</v>
      </c>
      <c r="D78" t="s">
        <v>16</v>
      </c>
      <c r="E78">
        <v>2020</v>
      </c>
      <c r="F78" t="s">
        <v>17</v>
      </c>
      <c r="G78" t="s">
        <v>24</v>
      </c>
      <c r="H78" t="s">
        <v>33</v>
      </c>
      <c r="I78" t="s">
        <v>25</v>
      </c>
      <c r="J78">
        <v>0</v>
      </c>
      <c r="K78">
        <v>2</v>
      </c>
      <c r="L78">
        <v>-2</v>
      </c>
      <c r="M78">
        <v>0.4</v>
      </c>
      <c r="N78">
        <v>1.6</v>
      </c>
      <c r="O78">
        <v>-1.2000000000000002</v>
      </c>
      <c r="P78">
        <v>0.79999999999999982</v>
      </c>
      <c r="Q78">
        <v>58</v>
      </c>
      <c r="R78">
        <v>1</v>
      </c>
      <c r="S78" t="s">
        <v>294</v>
      </c>
      <c r="T78">
        <v>0</v>
      </c>
      <c r="U78">
        <v>-0.4</v>
      </c>
      <c r="V78">
        <v>0.39999999999999991</v>
      </c>
    </row>
    <row r="79" spans="1:22" x14ac:dyDescent="0.2">
      <c r="A79" t="s">
        <v>127</v>
      </c>
      <c r="B79">
        <v>7</v>
      </c>
      <c r="C79" s="1">
        <v>44073</v>
      </c>
      <c r="D79" t="s">
        <v>16</v>
      </c>
      <c r="E79">
        <v>2020</v>
      </c>
      <c r="F79" t="s">
        <v>17</v>
      </c>
      <c r="G79" t="s">
        <v>18</v>
      </c>
      <c r="H79" t="s">
        <v>19</v>
      </c>
      <c r="I79" t="s">
        <v>25</v>
      </c>
      <c r="J79">
        <v>1</v>
      </c>
      <c r="K79">
        <v>3</v>
      </c>
      <c r="L79">
        <v>-2</v>
      </c>
      <c r="M79">
        <v>1</v>
      </c>
      <c r="N79">
        <v>1.1000000000000001</v>
      </c>
      <c r="O79">
        <v>-0.10000000000000009</v>
      </c>
      <c r="P79">
        <v>1.9</v>
      </c>
      <c r="Q79">
        <v>0</v>
      </c>
      <c r="R79">
        <v>0</v>
      </c>
      <c r="S79" t="s">
        <v>294</v>
      </c>
      <c r="T79">
        <v>0</v>
      </c>
      <c r="U79">
        <v>0</v>
      </c>
      <c r="V79">
        <v>1.9</v>
      </c>
    </row>
    <row r="80" spans="1:22" x14ac:dyDescent="0.2">
      <c r="A80" t="s">
        <v>128</v>
      </c>
      <c r="B80">
        <v>8</v>
      </c>
      <c r="C80" s="1">
        <v>44076</v>
      </c>
      <c r="D80" t="s">
        <v>16</v>
      </c>
      <c r="E80">
        <v>2020</v>
      </c>
      <c r="F80" t="s">
        <v>17</v>
      </c>
      <c r="G80" t="s">
        <v>47</v>
      </c>
      <c r="H80" t="s">
        <v>33</v>
      </c>
      <c r="I80" t="s">
        <v>20</v>
      </c>
      <c r="J80">
        <v>5</v>
      </c>
      <c r="K80">
        <v>1</v>
      </c>
      <c r="L80">
        <v>4</v>
      </c>
      <c r="M80">
        <v>2.9</v>
      </c>
      <c r="N80">
        <v>0.5</v>
      </c>
      <c r="O80">
        <v>2.4</v>
      </c>
      <c r="P80">
        <v>-1.6</v>
      </c>
      <c r="Q80">
        <v>0</v>
      </c>
      <c r="R80">
        <v>0</v>
      </c>
      <c r="S80" t="s">
        <v>294</v>
      </c>
      <c r="T80">
        <v>0</v>
      </c>
      <c r="U80">
        <v>2.1</v>
      </c>
      <c r="V80">
        <v>0.5</v>
      </c>
    </row>
    <row r="81" spans="1:22" x14ac:dyDescent="0.2">
      <c r="A81" t="s">
        <v>129</v>
      </c>
      <c r="B81">
        <v>9</v>
      </c>
      <c r="C81" s="1">
        <v>44080</v>
      </c>
      <c r="D81" t="s">
        <v>16</v>
      </c>
      <c r="E81">
        <v>2020</v>
      </c>
      <c r="F81" t="s">
        <v>17</v>
      </c>
      <c r="G81" t="s">
        <v>24</v>
      </c>
      <c r="H81" t="s">
        <v>19</v>
      </c>
      <c r="I81" t="s">
        <v>25</v>
      </c>
      <c r="J81">
        <v>0</v>
      </c>
      <c r="K81">
        <v>3</v>
      </c>
      <c r="L81">
        <v>-3</v>
      </c>
      <c r="M81">
        <v>1.8</v>
      </c>
      <c r="N81">
        <v>1.5</v>
      </c>
      <c r="O81">
        <v>0.30000000000000004</v>
      </c>
      <c r="P81">
        <v>3.3</v>
      </c>
      <c r="Q81">
        <v>0</v>
      </c>
      <c r="R81">
        <v>0</v>
      </c>
      <c r="S81" t="s">
        <v>294</v>
      </c>
      <c r="T81">
        <v>0</v>
      </c>
      <c r="U81">
        <v>-1.8</v>
      </c>
      <c r="V81">
        <v>1.5</v>
      </c>
    </row>
    <row r="82" spans="1:22" x14ac:dyDescent="0.2">
      <c r="A82" t="s">
        <v>130</v>
      </c>
      <c r="B82">
        <v>10</v>
      </c>
      <c r="C82" s="1">
        <v>44083</v>
      </c>
      <c r="D82" t="s">
        <v>16</v>
      </c>
      <c r="E82">
        <v>2020</v>
      </c>
      <c r="F82" t="s">
        <v>17</v>
      </c>
      <c r="G82" t="s">
        <v>22</v>
      </c>
      <c r="H82" t="s">
        <v>19</v>
      </c>
      <c r="I82" t="s">
        <v>25</v>
      </c>
      <c r="J82">
        <v>0</v>
      </c>
      <c r="K82">
        <v>3</v>
      </c>
      <c r="L82">
        <v>-3</v>
      </c>
      <c r="M82">
        <v>1.5</v>
      </c>
      <c r="N82">
        <v>2.2000000000000002</v>
      </c>
      <c r="O82">
        <v>-0.70000000000000018</v>
      </c>
      <c r="P82">
        <v>2.2999999999999998</v>
      </c>
      <c r="Q82">
        <v>0</v>
      </c>
      <c r="R82">
        <v>0</v>
      </c>
      <c r="S82" t="s">
        <v>294</v>
      </c>
      <c r="T82">
        <v>0</v>
      </c>
      <c r="U82">
        <v>-1.5</v>
      </c>
      <c r="V82">
        <v>0.79999999999999982</v>
      </c>
    </row>
    <row r="83" spans="1:22" x14ac:dyDescent="0.2">
      <c r="A83" t="s">
        <v>131</v>
      </c>
      <c r="B83">
        <v>11</v>
      </c>
      <c r="C83" s="1">
        <v>44087</v>
      </c>
      <c r="D83" t="s">
        <v>16</v>
      </c>
      <c r="E83">
        <v>2020</v>
      </c>
      <c r="F83" t="s">
        <v>17</v>
      </c>
      <c r="G83" t="s">
        <v>42</v>
      </c>
      <c r="H83" t="s">
        <v>33</v>
      </c>
      <c r="I83" t="s">
        <v>20</v>
      </c>
      <c r="J83">
        <v>4</v>
      </c>
      <c r="K83">
        <v>2</v>
      </c>
      <c r="L83">
        <v>2</v>
      </c>
      <c r="M83">
        <v>2.8</v>
      </c>
      <c r="N83">
        <v>1.2</v>
      </c>
      <c r="O83">
        <v>1.5999999999999999</v>
      </c>
      <c r="P83">
        <v>-0.40000000000000013</v>
      </c>
      <c r="Q83">
        <v>0</v>
      </c>
      <c r="R83">
        <v>0</v>
      </c>
      <c r="S83" t="s">
        <v>294</v>
      </c>
      <c r="T83">
        <v>0</v>
      </c>
      <c r="U83">
        <v>1.2000000000000002</v>
      </c>
      <c r="V83">
        <v>0.8</v>
      </c>
    </row>
    <row r="84" spans="1:22" x14ac:dyDescent="0.2">
      <c r="A84" t="s">
        <v>132</v>
      </c>
      <c r="B84">
        <v>12</v>
      </c>
      <c r="C84" s="1">
        <v>44092</v>
      </c>
      <c r="D84" t="s">
        <v>16</v>
      </c>
      <c r="E84">
        <v>2020</v>
      </c>
      <c r="F84" t="s">
        <v>17</v>
      </c>
      <c r="G84" t="s">
        <v>18</v>
      </c>
      <c r="H84" t="s">
        <v>19</v>
      </c>
      <c r="I84" t="s">
        <v>25</v>
      </c>
      <c r="J84">
        <v>0</v>
      </c>
      <c r="K84">
        <v>3</v>
      </c>
      <c r="L84">
        <v>-3</v>
      </c>
      <c r="M84">
        <v>0.6</v>
      </c>
      <c r="N84">
        <v>2.5</v>
      </c>
      <c r="O84">
        <v>-1.9</v>
      </c>
      <c r="P84">
        <v>1.1000000000000001</v>
      </c>
      <c r="Q84">
        <v>0</v>
      </c>
      <c r="R84">
        <v>0</v>
      </c>
      <c r="S84" t="s">
        <v>294</v>
      </c>
      <c r="T84">
        <v>0</v>
      </c>
      <c r="U84">
        <v>-0.6</v>
      </c>
      <c r="V84">
        <v>0.5</v>
      </c>
    </row>
    <row r="85" spans="1:22" x14ac:dyDescent="0.2">
      <c r="A85" t="s">
        <v>133</v>
      </c>
      <c r="B85">
        <v>13</v>
      </c>
      <c r="C85" s="1">
        <v>44097</v>
      </c>
      <c r="D85" t="s">
        <v>16</v>
      </c>
      <c r="E85">
        <v>2020</v>
      </c>
      <c r="F85" t="s">
        <v>17</v>
      </c>
      <c r="G85" t="s">
        <v>29</v>
      </c>
      <c r="H85" t="s">
        <v>33</v>
      </c>
      <c r="I85" t="s">
        <v>20</v>
      </c>
      <c r="J85">
        <v>6</v>
      </c>
      <c r="K85">
        <v>0</v>
      </c>
      <c r="L85">
        <v>6</v>
      </c>
      <c r="M85">
        <v>2.5</v>
      </c>
      <c r="N85">
        <v>0.4</v>
      </c>
      <c r="O85">
        <v>2.1</v>
      </c>
      <c r="P85">
        <v>-3.9</v>
      </c>
      <c r="Q85">
        <v>0</v>
      </c>
      <c r="R85">
        <v>0</v>
      </c>
      <c r="S85" t="s">
        <v>294</v>
      </c>
      <c r="T85">
        <v>0</v>
      </c>
      <c r="U85">
        <v>3.5</v>
      </c>
      <c r="V85">
        <v>-0.4</v>
      </c>
    </row>
    <row r="86" spans="1:22" x14ac:dyDescent="0.2">
      <c r="A86" t="s">
        <v>134</v>
      </c>
      <c r="B86">
        <v>14</v>
      </c>
      <c r="C86" s="1">
        <v>44101</v>
      </c>
      <c r="D86" t="s">
        <v>16</v>
      </c>
      <c r="E86">
        <v>2020</v>
      </c>
      <c r="F86" t="s">
        <v>17</v>
      </c>
      <c r="G86" t="s">
        <v>47</v>
      </c>
      <c r="H86" t="s">
        <v>33</v>
      </c>
      <c r="I86" t="s">
        <v>25</v>
      </c>
      <c r="J86">
        <v>1</v>
      </c>
      <c r="K86">
        <v>2</v>
      </c>
      <c r="L86">
        <v>-1</v>
      </c>
      <c r="M86">
        <v>1.2</v>
      </c>
      <c r="N86">
        <v>1.9</v>
      </c>
      <c r="O86">
        <v>-0.7</v>
      </c>
      <c r="P86">
        <v>0.30000000000000004</v>
      </c>
      <c r="Q86">
        <v>0</v>
      </c>
      <c r="R86">
        <v>0</v>
      </c>
      <c r="S86" t="s">
        <v>294</v>
      </c>
      <c r="T86">
        <v>0</v>
      </c>
      <c r="U86">
        <v>-0.19999999999999996</v>
      </c>
      <c r="V86">
        <v>0.10000000000000009</v>
      </c>
    </row>
    <row r="87" spans="1:22" x14ac:dyDescent="0.2">
      <c r="A87" t="s">
        <v>135</v>
      </c>
      <c r="B87">
        <v>15</v>
      </c>
      <c r="C87" s="1">
        <v>44108</v>
      </c>
      <c r="D87" t="s">
        <v>16</v>
      </c>
      <c r="E87">
        <v>2020</v>
      </c>
      <c r="F87" t="s">
        <v>17</v>
      </c>
      <c r="G87" t="s">
        <v>22</v>
      </c>
      <c r="H87" t="s">
        <v>19</v>
      </c>
      <c r="I87" t="s">
        <v>20</v>
      </c>
      <c r="J87">
        <v>3</v>
      </c>
      <c r="K87">
        <v>1</v>
      </c>
      <c r="L87">
        <v>2</v>
      </c>
      <c r="M87">
        <v>2.4</v>
      </c>
      <c r="N87">
        <v>1.5</v>
      </c>
      <c r="O87">
        <v>0.89999999999999991</v>
      </c>
      <c r="P87">
        <v>-1.1000000000000001</v>
      </c>
      <c r="Q87">
        <v>0</v>
      </c>
      <c r="R87">
        <v>0</v>
      </c>
      <c r="S87" t="s">
        <v>294</v>
      </c>
      <c r="T87">
        <v>0</v>
      </c>
      <c r="U87">
        <v>0.60000000000000009</v>
      </c>
      <c r="V87">
        <v>-0.5</v>
      </c>
    </row>
    <row r="88" spans="1:22" x14ac:dyDescent="0.2">
      <c r="A88" t="s">
        <v>136</v>
      </c>
      <c r="B88">
        <v>16</v>
      </c>
      <c r="C88" s="1">
        <v>44115</v>
      </c>
      <c r="D88" t="s">
        <v>16</v>
      </c>
      <c r="E88">
        <v>2020</v>
      </c>
      <c r="F88" t="s">
        <v>17</v>
      </c>
      <c r="G88" t="s">
        <v>18</v>
      </c>
      <c r="H88" t="s">
        <v>33</v>
      </c>
      <c r="I88" t="s">
        <v>20</v>
      </c>
      <c r="J88">
        <v>3</v>
      </c>
      <c r="K88">
        <v>1</v>
      </c>
      <c r="L88">
        <v>2</v>
      </c>
      <c r="M88">
        <v>0.9</v>
      </c>
      <c r="N88">
        <v>2.1</v>
      </c>
      <c r="O88">
        <v>-1.2000000000000002</v>
      </c>
      <c r="P88">
        <v>-3.2</v>
      </c>
      <c r="Q88">
        <v>0</v>
      </c>
      <c r="R88">
        <v>0</v>
      </c>
      <c r="S88" t="s">
        <v>294</v>
      </c>
      <c r="T88">
        <v>0</v>
      </c>
      <c r="U88">
        <v>2.1</v>
      </c>
      <c r="V88">
        <v>-1.1000000000000001</v>
      </c>
    </row>
    <row r="89" spans="1:22" x14ac:dyDescent="0.2">
      <c r="A89" t="s">
        <v>137</v>
      </c>
      <c r="B89">
        <v>17</v>
      </c>
      <c r="C89" s="1">
        <v>44118</v>
      </c>
      <c r="D89" t="s">
        <v>16</v>
      </c>
      <c r="E89">
        <v>2020</v>
      </c>
      <c r="F89" t="s">
        <v>17</v>
      </c>
      <c r="G89" t="s">
        <v>29</v>
      </c>
      <c r="H89" t="s">
        <v>19</v>
      </c>
      <c r="I89" t="s">
        <v>25</v>
      </c>
      <c r="J89">
        <v>1</v>
      </c>
      <c r="K89">
        <v>2</v>
      </c>
      <c r="L89">
        <v>-1</v>
      </c>
      <c r="M89">
        <v>1.4</v>
      </c>
      <c r="N89">
        <v>1.8</v>
      </c>
      <c r="O89">
        <v>-0.40000000000000013</v>
      </c>
      <c r="P89">
        <v>0.59999999999999987</v>
      </c>
      <c r="Q89">
        <v>0</v>
      </c>
      <c r="R89">
        <v>0</v>
      </c>
      <c r="S89" t="s">
        <v>294</v>
      </c>
      <c r="T89">
        <v>0</v>
      </c>
      <c r="U89">
        <v>-0.39999999999999991</v>
      </c>
      <c r="V89">
        <v>0.19999999999999996</v>
      </c>
    </row>
    <row r="90" spans="1:22" x14ac:dyDescent="0.2">
      <c r="A90" t="s">
        <v>138</v>
      </c>
      <c r="B90">
        <v>18</v>
      </c>
      <c r="C90" s="1">
        <v>44122</v>
      </c>
      <c r="D90" t="s">
        <v>16</v>
      </c>
      <c r="E90">
        <v>2020</v>
      </c>
      <c r="F90" t="s">
        <v>17</v>
      </c>
      <c r="G90" t="s">
        <v>42</v>
      </c>
      <c r="H90" t="s">
        <v>19</v>
      </c>
      <c r="I90" t="s">
        <v>36</v>
      </c>
      <c r="J90">
        <v>1</v>
      </c>
      <c r="K90">
        <v>1</v>
      </c>
      <c r="L90">
        <v>0</v>
      </c>
      <c r="M90">
        <v>1.6</v>
      </c>
      <c r="N90">
        <v>1.5</v>
      </c>
      <c r="O90">
        <v>0.10000000000000009</v>
      </c>
      <c r="P90">
        <v>0.10000000000000009</v>
      </c>
      <c r="Q90">
        <v>0</v>
      </c>
      <c r="R90">
        <v>0</v>
      </c>
      <c r="S90" t="s">
        <v>294</v>
      </c>
      <c r="T90">
        <v>0</v>
      </c>
      <c r="U90">
        <v>-0.60000000000000009</v>
      </c>
      <c r="V90">
        <v>-0.5</v>
      </c>
    </row>
    <row r="91" spans="1:22" x14ac:dyDescent="0.2">
      <c r="A91" t="s">
        <v>139</v>
      </c>
      <c r="B91">
        <v>19</v>
      </c>
      <c r="C91" s="1">
        <v>44129</v>
      </c>
      <c r="D91" t="s">
        <v>16</v>
      </c>
      <c r="E91">
        <v>2020</v>
      </c>
      <c r="F91" t="s">
        <v>17</v>
      </c>
      <c r="G91" t="s">
        <v>24</v>
      </c>
      <c r="H91" t="s">
        <v>33</v>
      </c>
      <c r="I91" t="s">
        <v>20</v>
      </c>
      <c r="J91">
        <v>2</v>
      </c>
      <c r="K91">
        <v>0</v>
      </c>
      <c r="L91">
        <v>2</v>
      </c>
      <c r="M91">
        <v>3.1</v>
      </c>
      <c r="N91">
        <v>0.2</v>
      </c>
      <c r="O91">
        <v>2.9</v>
      </c>
      <c r="P91">
        <v>0.89999999999999991</v>
      </c>
      <c r="Q91">
        <v>20</v>
      </c>
      <c r="R91">
        <v>1</v>
      </c>
      <c r="S91" t="s">
        <v>294</v>
      </c>
      <c r="T91">
        <v>0</v>
      </c>
      <c r="U91">
        <v>-1.1000000000000001</v>
      </c>
      <c r="V91">
        <v>-0.2</v>
      </c>
    </row>
    <row r="92" spans="1:22" x14ac:dyDescent="0.2">
      <c r="A92" t="s">
        <v>140</v>
      </c>
      <c r="B92">
        <v>20</v>
      </c>
      <c r="C92" s="1">
        <v>44132</v>
      </c>
      <c r="D92" t="s">
        <v>16</v>
      </c>
      <c r="E92">
        <v>2020</v>
      </c>
      <c r="F92" t="s">
        <v>17</v>
      </c>
      <c r="G92" t="s">
        <v>53</v>
      </c>
      <c r="H92" t="s">
        <v>33</v>
      </c>
      <c r="I92" t="s">
        <v>20</v>
      </c>
      <c r="J92">
        <v>2</v>
      </c>
      <c r="K92">
        <v>1</v>
      </c>
      <c r="L92">
        <v>1</v>
      </c>
      <c r="M92">
        <v>3.1</v>
      </c>
      <c r="N92">
        <v>2</v>
      </c>
      <c r="O92">
        <v>1.1000000000000001</v>
      </c>
      <c r="P92">
        <v>0.10000000000000009</v>
      </c>
      <c r="Q92">
        <v>30</v>
      </c>
      <c r="R92">
        <v>1</v>
      </c>
      <c r="S92" t="s">
        <v>294</v>
      </c>
      <c r="T92">
        <v>0</v>
      </c>
      <c r="U92">
        <v>-1.1000000000000001</v>
      </c>
      <c r="V92">
        <v>-1</v>
      </c>
    </row>
    <row r="93" spans="1:22" x14ac:dyDescent="0.2">
      <c r="A93" t="s">
        <v>141</v>
      </c>
      <c r="B93">
        <v>21</v>
      </c>
      <c r="C93" s="1">
        <v>44139</v>
      </c>
      <c r="D93" t="s">
        <v>16</v>
      </c>
      <c r="E93">
        <v>2020</v>
      </c>
      <c r="F93" t="s">
        <v>17</v>
      </c>
      <c r="G93" t="s">
        <v>47</v>
      </c>
      <c r="H93" t="s">
        <v>19</v>
      </c>
      <c r="I93" t="s">
        <v>25</v>
      </c>
      <c r="J93">
        <v>2</v>
      </c>
      <c r="K93">
        <v>3</v>
      </c>
      <c r="L93">
        <v>-1</v>
      </c>
      <c r="M93">
        <v>2.4</v>
      </c>
      <c r="N93">
        <v>1.1000000000000001</v>
      </c>
      <c r="O93">
        <v>1.2999999999999998</v>
      </c>
      <c r="P93">
        <v>2.2999999999999998</v>
      </c>
      <c r="Q93">
        <v>45</v>
      </c>
      <c r="R93">
        <v>1</v>
      </c>
      <c r="S93" t="s">
        <v>294</v>
      </c>
      <c r="T93">
        <v>0</v>
      </c>
      <c r="U93">
        <v>-0.39999999999999991</v>
      </c>
      <c r="V93">
        <v>1.9</v>
      </c>
    </row>
    <row r="94" spans="1:22" x14ac:dyDescent="0.2">
      <c r="A94" t="s">
        <v>142</v>
      </c>
      <c r="B94">
        <v>22</v>
      </c>
      <c r="C94" s="1">
        <v>44143</v>
      </c>
      <c r="D94" t="s">
        <v>16</v>
      </c>
      <c r="E94">
        <v>2020</v>
      </c>
      <c r="F94" t="s">
        <v>17</v>
      </c>
      <c r="G94" t="s">
        <v>42</v>
      </c>
      <c r="H94" t="s">
        <v>33</v>
      </c>
      <c r="I94" t="s">
        <v>36</v>
      </c>
      <c r="J94">
        <v>1</v>
      </c>
      <c r="K94">
        <v>1</v>
      </c>
      <c r="L94">
        <v>0</v>
      </c>
      <c r="M94">
        <v>1.4</v>
      </c>
      <c r="N94">
        <v>1.4</v>
      </c>
      <c r="O94">
        <v>0</v>
      </c>
      <c r="P94">
        <v>0</v>
      </c>
      <c r="Q94">
        <v>90</v>
      </c>
      <c r="R94">
        <v>1</v>
      </c>
      <c r="S94" t="s">
        <v>294</v>
      </c>
      <c r="T94">
        <v>0</v>
      </c>
      <c r="U94">
        <v>-0.39999999999999991</v>
      </c>
      <c r="V94">
        <v>-0.39999999999999991</v>
      </c>
    </row>
    <row r="95" spans="1:22" x14ac:dyDescent="0.2">
      <c r="A95" t="s">
        <v>143</v>
      </c>
      <c r="B95">
        <v>23</v>
      </c>
      <c r="C95" s="1">
        <v>44159</v>
      </c>
      <c r="D95" t="s">
        <v>16</v>
      </c>
      <c r="E95">
        <v>2020</v>
      </c>
      <c r="F95" t="s">
        <v>144</v>
      </c>
      <c r="G95" t="s">
        <v>18</v>
      </c>
      <c r="H95" t="s">
        <v>19</v>
      </c>
      <c r="I95" t="s">
        <v>25</v>
      </c>
      <c r="J95">
        <v>1</v>
      </c>
      <c r="K95">
        <v>3</v>
      </c>
      <c r="L95">
        <v>-2</v>
      </c>
      <c r="M95">
        <v>2.5</v>
      </c>
      <c r="N95">
        <v>2</v>
      </c>
      <c r="O95">
        <v>0.5</v>
      </c>
      <c r="P95">
        <v>2.5</v>
      </c>
      <c r="Q95">
        <v>90</v>
      </c>
      <c r="R95">
        <v>1</v>
      </c>
      <c r="S95" t="s">
        <v>294</v>
      </c>
      <c r="T95">
        <v>0</v>
      </c>
      <c r="U95">
        <v>-1.5</v>
      </c>
      <c r="V95">
        <v>1</v>
      </c>
    </row>
    <row r="96" spans="1:22" x14ac:dyDescent="0.2">
      <c r="A96" t="s">
        <v>145</v>
      </c>
      <c r="B96">
        <v>1</v>
      </c>
      <c r="C96" s="1">
        <v>44303</v>
      </c>
      <c r="D96" t="s">
        <v>16</v>
      </c>
      <c r="E96">
        <v>2021</v>
      </c>
      <c r="F96" t="s">
        <v>17</v>
      </c>
      <c r="G96" t="s">
        <v>146</v>
      </c>
      <c r="H96" t="s">
        <v>33</v>
      </c>
      <c r="I96" t="s">
        <v>20</v>
      </c>
      <c r="J96">
        <v>2</v>
      </c>
      <c r="K96">
        <v>0</v>
      </c>
      <c r="L96">
        <v>2</v>
      </c>
      <c r="M96">
        <v>3.2</v>
      </c>
      <c r="N96">
        <v>0.8</v>
      </c>
      <c r="O96">
        <v>2.4000000000000004</v>
      </c>
      <c r="P96">
        <v>0.40000000000000036</v>
      </c>
      <c r="Q96">
        <v>22</v>
      </c>
      <c r="R96">
        <v>1</v>
      </c>
      <c r="S96" t="s">
        <v>295</v>
      </c>
      <c r="T96">
        <v>0</v>
      </c>
      <c r="U96">
        <v>-1.2000000000000002</v>
      </c>
      <c r="V96">
        <v>-0.8</v>
      </c>
    </row>
    <row r="97" spans="1:22" x14ac:dyDescent="0.2">
      <c r="A97" t="s">
        <v>147</v>
      </c>
      <c r="B97">
        <v>2</v>
      </c>
      <c r="C97" s="1">
        <v>44310</v>
      </c>
      <c r="D97" t="s">
        <v>16</v>
      </c>
      <c r="E97">
        <v>2021</v>
      </c>
      <c r="F97" t="s">
        <v>17</v>
      </c>
      <c r="G97" t="s">
        <v>18</v>
      </c>
      <c r="H97" t="s">
        <v>33</v>
      </c>
      <c r="I97" t="s">
        <v>36</v>
      </c>
      <c r="J97">
        <v>1</v>
      </c>
      <c r="K97">
        <v>1</v>
      </c>
      <c r="L97">
        <v>0</v>
      </c>
      <c r="M97">
        <v>0.6</v>
      </c>
      <c r="N97">
        <v>0.8</v>
      </c>
      <c r="O97">
        <v>-0.20000000000000007</v>
      </c>
      <c r="P97">
        <v>-0.20000000000000007</v>
      </c>
      <c r="Q97">
        <v>0</v>
      </c>
      <c r="R97">
        <v>0</v>
      </c>
      <c r="S97" t="s">
        <v>295</v>
      </c>
      <c r="T97">
        <v>0</v>
      </c>
      <c r="U97">
        <v>0.4</v>
      </c>
      <c r="V97">
        <v>0.19999999999999996</v>
      </c>
    </row>
    <row r="98" spans="1:22" x14ac:dyDescent="0.2">
      <c r="A98" t="s">
        <v>148</v>
      </c>
      <c r="B98">
        <v>3</v>
      </c>
      <c r="C98" s="1">
        <v>44317</v>
      </c>
      <c r="D98" t="s">
        <v>16</v>
      </c>
      <c r="E98">
        <v>2021</v>
      </c>
      <c r="F98" t="s">
        <v>17</v>
      </c>
      <c r="G98" t="s">
        <v>53</v>
      </c>
      <c r="H98" t="s">
        <v>19</v>
      </c>
      <c r="I98" t="s">
        <v>36</v>
      </c>
      <c r="J98">
        <v>1</v>
      </c>
      <c r="K98">
        <v>1</v>
      </c>
      <c r="L98">
        <v>0</v>
      </c>
      <c r="M98">
        <v>1.3</v>
      </c>
      <c r="N98">
        <v>1.4</v>
      </c>
      <c r="O98">
        <v>-9.9999999999999867E-2</v>
      </c>
      <c r="P98">
        <v>-9.9999999999999867E-2</v>
      </c>
      <c r="Q98">
        <v>0</v>
      </c>
      <c r="R98">
        <v>0</v>
      </c>
      <c r="S98" t="s">
        <v>295</v>
      </c>
      <c r="T98">
        <v>0</v>
      </c>
      <c r="U98">
        <v>-0.30000000000000004</v>
      </c>
      <c r="V98">
        <v>-0.39999999999999991</v>
      </c>
    </row>
    <row r="99" spans="1:22" x14ac:dyDescent="0.2">
      <c r="A99" t="s">
        <v>149</v>
      </c>
      <c r="B99">
        <v>4</v>
      </c>
      <c r="C99" s="1">
        <v>44324</v>
      </c>
      <c r="D99" t="s">
        <v>16</v>
      </c>
      <c r="E99">
        <v>2021</v>
      </c>
      <c r="F99" t="s">
        <v>17</v>
      </c>
      <c r="G99" t="s">
        <v>24</v>
      </c>
      <c r="H99" t="s">
        <v>19</v>
      </c>
      <c r="I99" t="s">
        <v>25</v>
      </c>
      <c r="J99">
        <v>1</v>
      </c>
      <c r="K99">
        <v>2</v>
      </c>
      <c r="L99">
        <v>-1</v>
      </c>
      <c r="M99">
        <v>1.2</v>
      </c>
      <c r="N99">
        <v>1</v>
      </c>
      <c r="O99">
        <v>0.19999999999999996</v>
      </c>
      <c r="P99">
        <v>1.2</v>
      </c>
      <c r="Q99">
        <v>0</v>
      </c>
      <c r="R99">
        <v>0</v>
      </c>
      <c r="S99" t="s">
        <v>295</v>
      </c>
      <c r="T99">
        <v>0</v>
      </c>
      <c r="U99">
        <v>-0.19999999999999996</v>
      </c>
      <c r="V99">
        <v>1</v>
      </c>
    </row>
    <row r="100" spans="1:22" x14ac:dyDescent="0.2">
      <c r="A100" t="s">
        <v>150</v>
      </c>
      <c r="B100">
        <v>5</v>
      </c>
      <c r="C100" s="1">
        <v>44332</v>
      </c>
      <c r="D100" t="s">
        <v>16</v>
      </c>
      <c r="E100">
        <v>2021</v>
      </c>
      <c r="F100" t="s">
        <v>17</v>
      </c>
      <c r="G100" t="s">
        <v>18</v>
      </c>
      <c r="H100" t="s">
        <v>19</v>
      </c>
      <c r="I100" t="s">
        <v>25</v>
      </c>
      <c r="J100">
        <v>0</v>
      </c>
      <c r="K100">
        <v>2</v>
      </c>
      <c r="L100">
        <v>-2</v>
      </c>
      <c r="M100">
        <v>0.6</v>
      </c>
      <c r="N100">
        <v>1.3</v>
      </c>
      <c r="O100">
        <v>-0.70000000000000007</v>
      </c>
      <c r="P100">
        <v>1.2999999999999998</v>
      </c>
      <c r="Q100">
        <v>20</v>
      </c>
      <c r="R100">
        <v>1</v>
      </c>
      <c r="S100" t="s">
        <v>295</v>
      </c>
      <c r="T100">
        <v>0</v>
      </c>
      <c r="U100">
        <v>-0.6</v>
      </c>
      <c r="V100">
        <v>0.7</v>
      </c>
    </row>
    <row r="101" spans="1:22" x14ac:dyDescent="0.2">
      <c r="A101" t="s">
        <v>151</v>
      </c>
      <c r="B101">
        <v>6</v>
      </c>
      <c r="C101" s="1">
        <v>44338</v>
      </c>
      <c r="D101" t="s">
        <v>16</v>
      </c>
      <c r="E101">
        <v>2021</v>
      </c>
      <c r="F101" t="s">
        <v>17</v>
      </c>
      <c r="G101" t="s">
        <v>65</v>
      </c>
      <c r="H101" t="s">
        <v>33</v>
      </c>
      <c r="I101" t="s">
        <v>20</v>
      </c>
      <c r="J101">
        <v>2</v>
      </c>
      <c r="K101">
        <v>1</v>
      </c>
      <c r="L101">
        <v>1</v>
      </c>
      <c r="M101">
        <v>1.5</v>
      </c>
      <c r="N101">
        <v>1.1000000000000001</v>
      </c>
      <c r="O101">
        <v>0.39999999999999991</v>
      </c>
      <c r="P101">
        <v>-0.60000000000000009</v>
      </c>
      <c r="Q101">
        <v>59</v>
      </c>
      <c r="R101">
        <v>1</v>
      </c>
      <c r="S101" t="s">
        <v>295</v>
      </c>
      <c r="T101">
        <v>0</v>
      </c>
      <c r="U101">
        <v>0.5</v>
      </c>
      <c r="V101">
        <v>-0.10000000000000009</v>
      </c>
    </row>
    <row r="102" spans="1:22" x14ac:dyDescent="0.2">
      <c r="A102" t="s">
        <v>152</v>
      </c>
      <c r="B102">
        <v>7</v>
      </c>
      <c r="C102" s="1">
        <v>44345</v>
      </c>
      <c r="D102" t="s">
        <v>16</v>
      </c>
      <c r="E102">
        <v>2021</v>
      </c>
      <c r="F102" t="s">
        <v>17</v>
      </c>
      <c r="G102" t="s">
        <v>40</v>
      </c>
      <c r="H102" t="s">
        <v>33</v>
      </c>
      <c r="I102" t="s">
        <v>25</v>
      </c>
      <c r="J102">
        <v>1</v>
      </c>
      <c r="K102">
        <v>2</v>
      </c>
      <c r="L102">
        <v>-1</v>
      </c>
      <c r="M102">
        <v>2.2999999999999998</v>
      </c>
      <c r="N102">
        <v>1</v>
      </c>
      <c r="O102">
        <v>1.2999999999999998</v>
      </c>
      <c r="P102">
        <v>2.2999999999999998</v>
      </c>
      <c r="Q102">
        <v>90</v>
      </c>
      <c r="R102">
        <v>1</v>
      </c>
      <c r="S102" t="s">
        <v>295</v>
      </c>
      <c r="T102">
        <v>0</v>
      </c>
      <c r="U102">
        <v>-1.2999999999999998</v>
      </c>
      <c r="V102">
        <v>1</v>
      </c>
    </row>
    <row r="103" spans="1:22" x14ac:dyDescent="0.2">
      <c r="A103" t="s">
        <v>153</v>
      </c>
      <c r="B103">
        <v>8</v>
      </c>
      <c r="C103" s="1">
        <v>44366</v>
      </c>
      <c r="D103" t="s">
        <v>16</v>
      </c>
      <c r="E103">
        <v>2021</v>
      </c>
      <c r="F103" t="s">
        <v>17</v>
      </c>
      <c r="G103" t="s">
        <v>53</v>
      </c>
      <c r="H103" t="s">
        <v>33</v>
      </c>
      <c r="I103" t="s">
        <v>36</v>
      </c>
      <c r="J103">
        <v>1</v>
      </c>
      <c r="K103">
        <v>1</v>
      </c>
      <c r="L103">
        <v>0</v>
      </c>
      <c r="M103">
        <v>1.9</v>
      </c>
      <c r="N103">
        <v>0.5</v>
      </c>
      <c r="O103">
        <v>1.4</v>
      </c>
      <c r="P103">
        <v>1.4</v>
      </c>
      <c r="Q103">
        <v>64</v>
      </c>
      <c r="R103">
        <v>1</v>
      </c>
      <c r="S103" t="s">
        <v>295</v>
      </c>
      <c r="T103">
        <v>0</v>
      </c>
      <c r="U103">
        <v>-0.89999999999999991</v>
      </c>
      <c r="V103">
        <v>0.5</v>
      </c>
    </row>
    <row r="104" spans="1:22" x14ac:dyDescent="0.2">
      <c r="A104" t="s">
        <v>154</v>
      </c>
      <c r="B104">
        <v>9</v>
      </c>
      <c r="C104" s="1">
        <v>44370</v>
      </c>
      <c r="D104" t="s">
        <v>16</v>
      </c>
      <c r="E104">
        <v>2021</v>
      </c>
      <c r="F104" t="s">
        <v>17</v>
      </c>
      <c r="G104" t="s">
        <v>35</v>
      </c>
      <c r="H104" t="s">
        <v>33</v>
      </c>
      <c r="I104" t="s">
        <v>20</v>
      </c>
      <c r="J104">
        <v>2</v>
      </c>
      <c r="K104">
        <v>0</v>
      </c>
      <c r="L104">
        <v>2</v>
      </c>
      <c r="M104">
        <v>3.1</v>
      </c>
      <c r="N104">
        <v>0.8</v>
      </c>
      <c r="O104">
        <v>2.2999999999999998</v>
      </c>
      <c r="P104">
        <v>0.29999999999999982</v>
      </c>
      <c r="Q104">
        <v>76</v>
      </c>
      <c r="R104">
        <v>1</v>
      </c>
      <c r="S104" t="s">
        <v>295</v>
      </c>
      <c r="T104">
        <v>0</v>
      </c>
      <c r="U104">
        <v>-1.1000000000000001</v>
      </c>
      <c r="V104">
        <v>-0.8</v>
      </c>
    </row>
    <row r="105" spans="1:22" x14ac:dyDescent="0.2">
      <c r="A105" t="s">
        <v>155</v>
      </c>
      <c r="B105">
        <v>10</v>
      </c>
      <c r="C105" s="1">
        <v>44373</v>
      </c>
      <c r="D105" t="s">
        <v>16</v>
      </c>
      <c r="E105">
        <v>2021</v>
      </c>
      <c r="F105" t="s">
        <v>17</v>
      </c>
      <c r="G105" t="s">
        <v>62</v>
      </c>
      <c r="H105" t="s">
        <v>19</v>
      </c>
      <c r="I105" t="s">
        <v>25</v>
      </c>
      <c r="J105">
        <v>1</v>
      </c>
      <c r="K105">
        <v>2</v>
      </c>
      <c r="L105">
        <v>-1</v>
      </c>
      <c r="M105">
        <v>0.8</v>
      </c>
      <c r="N105">
        <v>1.4</v>
      </c>
      <c r="O105">
        <v>-0.59999999999999987</v>
      </c>
      <c r="P105">
        <v>0.40000000000000013</v>
      </c>
      <c r="Q105">
        <v>33</v>
      </c>
      <c r="R105">
        <v>1</v>
      </c>
      <c r="S105" t="s">
        <v>295</v>
      </c>
      <c r="T105">
        <v>0</v>
      </c>
      <c r="U105">
        <v>0.19999999999999996</v>
      </c>
      <c r="V105">
        <v>0.60000000000000009</v>
      </c>
    </row>
    <row r="106" spans="1:22" x14ac:dyDescent="0.2">
      <c r="A106" t="s">
        <v>156</v>
      </c>
      <c r="B106">
        <v>11</v>
      </c>
      <c r="C106" s="1">
        <v>44380</v>
      </c>
      <c r="D106" t="s">
        <v>16</v>
      </c>
      <c r="E106">
        <v>2021</v>
      </c>
      <c r="F106" t="s">
        <v>17</v>
      </c>
      <c r="G106" t="s">
        <v>22</v>
      </c>
      <c r="H106" t="s">
        <v>19</v>
      </c>
      <c r="I106" t="s">
        <v>20</v>
      </c>
      <c r="J106">
        <v>1</v>
      </c>
      <c r="K106">
        <v>0</v>
      </c>
      <c r="L106">
        <v>1</v>
      </c>
      <c r="M106">
        <v>0.6</v>
      </c>
      <c r="N106">
        <v>1.3</v>
      </c>
      <c r="O106">
        <v>-0.70000000000000007</v>
      </c>
      <c r="P106">
        <v>-1.7000000000000002</v>
      </c>
      <c r="Q106">
        <v>90</v>
      </c>
      <c r="R106">
        <v>1</v>
      </c>
      <c r="S106" t="s">
        <v>295</v>
      </c>
      <c r="T106">
        <v>0</v>
      </c>
      <c r="U106">
        <v>0.4</v>
      </c>
      <c r="V106">
        <v>-1.3</v>
      </c>
    </row>
    <row r="107" spans="1:22" x14ac:dyDescent="0.2">
      <c r="A107" t="s">
        <v>157</v>
      </c>
      <c r="B107">
        <v>12</v>
      </c>
      <c r="C107" s="1">
        <v>44384</v>
      </c>
      <c r="D107" t="s">
        <v>16</v>
      </c>
      <c r="E107">
        <v>2021</v>
      </c>
      <c r="F107" t="s">
        <v>17</v>
      </c>
      <c r="G107" t="s">
        <v>146</v>
      </c>
      <c r="H107" t="s">
        <v>19</v>
      </c>
      <c r="I107" t="s">
        <v>20</v>
      </c>
      <c r="J107">
        <v>2</v>
      </c>
      <c r="K107">
        <v>0</v>
      </c>
      <c r="L107">
        <v>2</v>
      </c>
      <c r="M107">
        <v>2</v>
      </c>
      <c r="N107">
        <v>0.7</v>
      </c>
      <c r="O107">
        <v>1.3</v>
      </c>
      <c r="P107">
        <v>-0.7</v>
      </c>
      <c r="Q107">
        <v>90</v>
      </c>
      <c r="R107">
        <v>1</v>
      </c>
      <c r="S107" t="s">
        <v>295</v>
      </c>
      <c r="T107">
        <v>0</v>
      </c>
      <c r="U107">
        <v>0</v>
      </c>
      <c r="V107">
        <v>-0.7</v>
      </c>
    </row>
    <row r="108" spans="1:22" x14ac:dyDescent="0.2">
      <c r="A108" t="s">
        <v>158</v>
      </c>
      <c r="B108">
        <v>13</v>
      </c>
      <c r="C108" s="1">
        <v>44394</v>
      </c>
      <c r="D108" t="s">
        <v>16</v>
      </c>
      <c r="E108">
        <v>2021</v>
      </c>
      <c r="F108" t="s">
        <v>17</v>
      </c>
      <c r="G108" t="s">
        <v>22</v>
      </c>
      <c r="H108" t="s">
        <v>33</v>
      </c>
      <c r="I108" t="s">
        <v>20</v>
      </c>
      <c r="J108">
        <v>2</v>
      </c>
      <c r="K108">
        <v>1</v>
      </c>
      <c r="L108">
        <v>1</v>
      </c>
      <c r="M108">
        <v>4.8</v>
      </c>
      <c r="N108">
        <v>0.9</v>
      </c>
      <c r="O108">
        <v>3.9</v>
      </c>
      <c r="P108">
        <v>2.9</v>
      </c>
      <c r="Q108">
        <v>90</v>
      </c>
      <c r="R108">
        <v>1</v>
      </c>
      <c r="S108" t="s">
        <v>295</v>
      </c>
      <c r="T108">
        <v>0</v>
      </c>
      <c r="U108">
        <v>-2.8</v>
      </c>
      <c r="V108">
        <v>9.9999999999999978E-2</v>
      </c>
    </row>
    <row r="109" spans="1:22" x14ac:dyDescent="0.2">
      <c r="A109" t="s">
        <v>159</v>
      </c>
      <c r="B109">
        <v>14</v>
      </c>
      <c r="C109" s="1">
        <v>44398</v>
      </c>
      <c r="D109" t="s">
        <v>16</v>
      </c>
      <c r="E109">
        <v>2021</v>
      </c>
      <c r="F109" t="s">
        <v>17</v>
      </c>
      <c r="G109" t="s">
        <v>42</v>
      </c>
      <c r="H109" t="s">
        <v>19</v>
      </c>
      <c r="I109" t="s">
        <v>25</v>
      </c>
      <c r="J109">
        <v>1</v>
      </c>
      <c r="K109">
        <v>2</v>
      </c>
      <c r="L109">
        <v>-1</v>
      </c>
      <c r="M109">
        <v>2.2000000000000002</v>
      </c>
      <c r="N109">
        <v>0.6</v>
      </c>
      <c r="O109">
        <v>1.6</v>
      </c>
      <c r="P109">
        <v>2.6</v>
      </c>
      <c r="Q109">
        <v>79</v>
      </c>
      <c r="R109">
        <v>1</v>
      </c>
      <c r="S109" t="s">
        <v>295</v>
      </c>
      <c r="T109">
        <v>0</v>
      </c>
      <c r="U109">
        <v>-1.2000000000000002</v>
      </c>
      <c r="V109">
        <v>1.4</v>
      </c>
    </row>
    <row r="110" spans="1:22" x14ac:dyDescent="0.2">
      <c r="A110" t="s">
        <v>160</v>
      </c>
      <c r="B110">
        <v>15</v>
      </c>
      <c r="C110" s="1">
        <v>44401</v>
      </c>
      <c r="D110" t="s">
        <v>16</v>
      </c>
      <c r="E110">
        <v>2021</v>
      </c>
      <c r="F110" t="s">
        <v>17</v>
      </c>
      <c r="G110" t="s">
        <v>29</v>
      </c>
      <c r="H110" t="s">
        <v>33</v>
      </c>
      <c r="I110" t="s">
        <v>36</v>
      </c>
      <c r="J110">
        <v>2</v>
      </c>
      <c r="K110">
        <v>2</v>
      </c>
      <c r="L110">
        <v>0</v>
      </c>
      <c r="M110">
        <v>1</v>
      </c>
      <c r="N110">
        <v>1.2</v>
      </c>
      <c r="O110">
        <v>-0.19999999999999996</v>
      </c>
      <c r="P110">
        <v>-0.19999999999999996</v>
      </c>
      <c r="Q110">
        <v>90</v>
      </c>
      <c r="R110">
        <v>1</v>
      </c>
      <c r="S110" t="s">
        <v>295</v>
      </c>
      <c r="T110">
        <v>0</v>
      </c>
      <c r="U110">
        <v>1</v>
      </c>
      <c r="V110">
        <v>0.8</v>
      </c>
    </row>
    <row r="111" spans="1:22" x14ac:dyDescent="0.2">
      <c r="A111" t="s">
        <v>161</v>
      </c>
      <c r="B111">
        <v>16</v>
      </c>
      <c r="C111" s="1">
        <v>44405</v>
      </c>
      <c r="D111" t="s">
        <v>16</v>
      </c>
      <c r="E111">
        <v>2021</v>
      </c>
      <c r="F111" t="s">
        <v>17</v>
      </c>
      <c r="G111" t="s">
        <v>38</v>
      </c>
      <c r="H111" t="s">
        <v>33</v>
      </c>
      <c r="I111" t="s">
        <v>36</v>
      </c>
      <c r="J111">
        <v>2</v>
      </c>
      <c r="K111">
        <v>2</v>
      </c>
      <c r="L111">
        <v>0</v>
      </c>
      <c r="M111">
        <v>2.2000000000000002</v>
      </c>
      <c r="N111">
        <v>1.1000000000000001</v>
      </c>
      <c r="O111">
        <v>1.1000000000000001</v>
      </c>
      <c r="P111">
        <v>1.1000000000000001</v>
      </c>
      <c r="Q111">
        <v>90</v>
      </c>
      <c r="R111">
        <v>1</v>
      </c>
      <c r="S111" t="s">
        <v>295</v>
      </c>
      <c r="T111">
        <v>0</v>
      </c>
      <c r="U111">
        <v>-0.20000000000000018</v>
      </c>
      <c r="V111">
        <v>0.89999999999999991</v>
      </c>
    </row>
    <row r="112" spans="1:22" x14ac:dyDescent="0.2">
      <c r="A112" t="s">
        <v>162</v>
      </c>
      <c r="B112">
        <v>17</v>
      </c>
      <c r="C112" s="1">
        <v>44412</v>
      </c>
      <c r="D112" t="s">
        <v>16</v>
      </c>
      <c r="E112">
        <v>2021</v>
      </c>
      <c r="F112" t="s">
        <v>17</v>
      </c>
      <c r="G112" t="s">
        <v>62</v>
      </c>
      <c r="H112" t="s">
        <v>33</v>
      </c>
      <c r="I112" t="s">
        <v>25</v>
      </c>
      <c r="J112">
        <v>1</v>
      </c>
      <c r="K112">
        <v>4</v>
      </c>
      <c r="L112">
        <v>-3</v>
      </c>
      <c r="M112">
        <v>2.2999999999999998</v>
      </c>
      <c r="N112">
        <v>2</v>
      </c>
      <c r="O112">
        <v>0.29999999999999982</v>
      </c>
      <c r="P112">
        <v>3.3</v>
      </c>
      <c r="Q112">
        <v>90</v>
      </c>
      <c r="R112">
        <v>1</v>
      </c>
      <c r="S112" t="s">
        <v>295</v>
      </c>
      <c r="T112">
        <v>0</v>
      </c>
      <c r="U112">
        <v>-1.2999999999999998</v>
      </c>
      <c r="V112">
        <v>2</v>
      </c>
    </row>
    <row r="113" spans="1:22" x14ac:dyDescent="0.2">
      <c r="A113" t="s">
        <v>163</v>
      </c>
      <c r="B113">
        <v>18</v>
      </c>
      <c r="C113" s="1">
        <v>44416</v>
      </c>
      <c r="D113" t="s">
        <v>16</v>
      </c>
      <c r="E113">
        <v>2021</v>
      </c>
      <c r="F113" t="s">
        <v>17</v>
      </c>
      <c r="G113" t="s">
        <v>47</v>
      </c>
      <c r="H113" t="s">
        <v>19</v>
      </c>
      <c r="I113" t="s">
        <v>25</v>
      </c>
      <c r="J113">
        <v>1</v>
      </c>
      <c r="K113">
        <v>2</v>
      </c>
      <c r="L113">
        <v>-1</v>
      </c>
      <c r="M113">
        <v>1.6</v>
      </c>
      <c r="N113">
        <v>1.8</v>
      </c>
      <c r="O113">
        <v>-0.19999999999999996</v>
      </c>
      <c r="P113">
        <v>0.8</v>
      </c>
      <c r="Q113">
        <v>90</v>
      </c>
      <c r="R113">
        <v>1</v>
      </c>
      <c r="S113" t="s">
        <v>295</v>
      </c>
      <c r="T113">
        <v>0</v>
      </c>
      <c r="U113">
        <v>-0.60000000000000009</v>
      </c>
      <c r="V113">
        <v>0.19999999999999996</v>
      </c>
    </row>
    <row r="114" spans="1:22" x14ac:dyDescent="0.2">
      <c r="A114" t="s">
        <v>164</v>
      </c>
      <c r="B114">
        <v>19</v>
      </c>
      <c r="C114" s="1">
        <v>44423</v>
      </c>
      <c r="D114" t="s">
        <v>16</v>
      </c>
      <c r="E114">
        <v>2021</v>
      </c>
      <c r="F114" t="s">
        <v>17</v>
      </c>
      <c r="G114" t="s">
        <v>27</v>
      </c>
      <c r="H114" t="s">
        <v>19</v>
      </c>
      <c r="I114" t="s">
        <v>25</v>
      </c>
      <c r="J114">
        <v>0</v>
      </c>
      <c r="K114">
        <v>1</v>
      </c>
      <c r="L114">
        <v>-1</v>
      </c>
      <c r="M114">
        <v>1.2</v>
      </c>
      <c r="N114">
        <v>1.1000000000000001</v>
      </c>
      <c r="O114">
        <v>9.9999999999999867E-2</v>
      </c>
      <c r="P114">
        <v>1.0999999999999999</v>
      </c>
      <c r="Q114">
        <v>90</v>
      </c>
      <c r="R114">
        <v>1</v>
      </c>
      <c r="S114" t="s">
        <v>295</v>
      </c>
      <c r="T114">
        <v>0</v>
      </c>
      <c r="U114">
        <v>-1.2</v>
      </c>
      <c r="V114">
        <v>-0.10000000000000009</v>
      </c>
    </row>
    <row r="115" spans="1:22" x14ac:dyDescent="0.2">
      <c r="A115" t="s">
        <v>165</v>
      </c>
      <c r="B115">
        <v>20</v>
      </c>
      <c r="C115" s="1">
        <v>44429</v>
      </c>
      <c r="D115" t="s">
        <v>16</v>
      </c>
      <c r="E115">
        <v>2021</v>
      </c>
      <c r="F115" t="s">
        <v>17</v>
      </c>
      <c r="G115" t="s">
        <v>29</v>
      </c>
      <c r="H115" t="s">
        <v>19</v>
      </c>
      <c r="I115" t="s">
        <v>25</v>
      </c>
      <c r="J115">
        <v>1</v>
      </c>
      <c r="K115">
        <v>2</v>
      </c>
      <c r="L115">
        <v>-1</v>
      </c>
      <c r="M115">
        <v>3.9</v>
      </c>
      <c r="N115">
        <v>1.5</v>
      </c>
      <c r="O115">
        <v>2.4</v>
      </c>
      <c r="P115">
        <v>3.4</v>
      </c>
      <c r="Q115">
        <v>16</v>
      </c>
      <c r="R115">
        <v>1</v>
      </c>
      <c r="S115" t="s">
        <v>295</v>
      </c>
      <c r="T115">
        <v>0</v>
      </c>
      <c r="U115">
        <v>-2.9</v>
      </c>
      <c r="V115">
        <v>0.5</v>
      </c>
    </row>
    <row r="116" spans="1:22" x14ac:dyDescent="0.2">
      <c r="A116" t="s">
        <v>166</v>
      </c>
      <c r="B116">
        <v>21</v>
      </c>
      <c r="C116" s="1">
        <v>44436</v>
      </c>
      <c r="D116" t="s">
        <v>16</v>
      </c>
      <c r="E116">
        <v>2021</v>
      </c>
      <c r="F116" t="s">
        <v>17</v>
      </c>
      <c r="G116" t="s">
        <v>24</v>
      </c>
      <c r="H116" t="s">
        <v>33</v>
      </c>
      <c r="I116" t="s">
        <v>36</v>
      </c>
      <c r="J116">
        <v>3</v>
      </c>
      <c r="K116">
        <v>3</v>
      </c>
      <c r="L116">
        <v>0</v>
      </c>
      <c r="M116">
        <v>2.9</v>
      </c>
      <c r="N116">
        <v>1.3</v>
      </c>
      <c r="O116">
        <v>1.5999999999999999</v>
      </c>
      <c r="P116">
        <v>1.5999999999999999</v>
      </c>
      <c r="Q116">
        <v>0</v>
      </c>
      <c r="R116">
        <v>0</v>
      </c>
      <c r="S116" t="s">
        <v>295</v>
      </c>
      <c r="T116">
        <v>0</v>
      </c>
      <c r="U116">
        <v>0.10000000000000009</v>
      </c>
      <c r="V116">
        <v>1.7</v>
      </c>
    </row>
    <row r="117" spans="1:22" x14ac:dyDescent="0.2">
      <c r="A117" t="s">
        <v>167</v>
      </c>
      <c r="B117">
        <v>22</v>
      </c>
      <c r="C117" s="1">
        <v>44442</v>
      </c>
      <c r="D117" t="s">
        <v>16</v>
      </c>
      <c r="E117">
        <v>2021</v>
      </c>
      <c r="F117" t="s">
        <v>17</v>
      </c>
      <c r="G117" t="s">
        <v>62</v>
      </c>
      <c r="H117" t="s">
        <v>33</v>
      </c>
      <c r="I117" t="s">
        <v>20</v>
      </c>
      <c r="J117">
        <v>4</v>
      </c>
      <c r="K117">
        <v>0</v>
      </c>
      <c r="L117">
        <v>4</v>
      </c>
      <c r="M117">
        <v>3.5</v>
      </c>
      <c r="N117">
        <v>0.4</v>
      </c>
      <c r="O117">
        <v>3.1</v>
      </c>
      <c r="P117">
        <v>-0.89999999999999991</v>
      </c>
      <c r="Q117">
        <v>0</v>
      </c>
      <c r="R117">
        <v>0</v>
      </c>
      <c r="S117" t="s">
        <v>295</v>
      </c>
      <c r="T117">
        <v>0</v>
      </c>
      <c r="U117">
        <v>0.5</v>
      </c>
      <c r="V117">
        <v>-0.4</v>
      </c>
    </row>
    <row r="118" spans="1:22" x14ac:dyDescent="0.2">
      <c r="A118" t="s">
        <v>168</v>
      </c>
      <c r="B118">
        <v>23</v>
      </c>
      <c r="C118" s="1">
        <v>44451</v>
      </c>
      <c r="D118" t="s">
        <v>16</v>
      </c>
      <c r="E118">
        <v>2021</v>
      </c>
      <c r="F118" t="s">
        <v>17</v>
      </c>
      <c r="G118" t="s">
        <v>22</v>
      </c>
      <c r="H118" t="s">
        <v>33</v>
      </c>
      <c r="I118" t="s">
        <v>20</v>
      </c>
      <c r="J118">
        <v>3</v>
      </c>
      <c r="K118">
        <v>2</v>
      </c>
      <c r="L118">
        <v>1</v>
      </c>
      <c r="M118">
        <v>1</v>
      </c>
      <c r="N118">
        <v>1</v>
      </c>
      <c r="O118">
        <v>0</v>
      </c>
      <c r="P118">
        <v>-1</v>
      </c>
      <c r="Q118">
        <v>0</v>
      </c>
      <c r="R118">
        <v>0</v>
      </c>
      <c r="S118" t="s">
        <v>295</v>
      </c>
      <c r="T118">
        <v>0</v>
      </c>
      <c r="U118">
        <v>2</v>
      </c>
      <c r="V118">
        <v>1</v>
      </c>
    </row>
    <row r="119" spans="1:22" x14ac:dyDescent="0.2">
      <c r="A119" t="s">
        <v>169</v>
      </c>
      <c r="B119">
        <v>24</v>
      </c>
      <c r="C119" s="1">
        <v>44454</v>
      </c>
      <c r="D119" t="s">
        <v>16</v>
      </c>
      <c r="E119">
        <v>2021</v>
      </c>
      <c r="F119" t="s">
        <v>17</v>
      </c>
      <c r="G119" t="s">
        <v>146</v>
      </c>
      <c r="H119" t="s">
        <v>19</v>
      </c>
      <c r="I119" t="s">
        <v>20</v>
      </c>
      <c r="J119">
        <v>2</v>
      </c>
      <c r="K119">
        <v>1</v>
      </c>
      <c r="L119">
        <v>1</v>
      </c>
      <c r="M119">
        <v>2.5</v>
      </c>
      <c r="N119">
        <v>1.3</v>
      </c>
      <c r="O119">
        <v>1.2</v>
      </c>
      <c r="P119">
        <v>0.19999999999999996</v>
      </c>
      <c r="Q119">
        <v>0</v>
      </c>
      <c r="R119">
        <v>0</v>
      </c>
      <c r="S119" t="s">
        <v>295</v>
      </c>
      <c r="T119">
        <v>0</v>
      </c>
      <c r="U119">
        <v>-0.5</v>
      </c>
      <c r="V119">
        <v>-0.30000000000000004</v>
      </c>
    </row>
    <row r="120" spans="1:22" x14ac:dyDescent="0.2">
      <c r="A120" t="s">
        <v>170</v>
      </c>
      <c r="B120">
        <v>25</v>
      </c>
      <c r="C120" s="1">
        <v>44458</v>
      </c>
      <c r="D120" t="s">
        <v>16</v>
      </c>
      <c r="E120">
        <v>2021</v>
      </c>
      <c r="F120" t="s">
        <v>17</v>
      </c>
      <c r="G120" t="s">
        <v>42</v>
      </c>
      <c r="H120" t="s">
        <v>19</v>
      </c>
      <c r="I120" t="s">
        <v>25</v>
      </c>
      <c r="J120">
        <v>1</v>
      </c>
      <c r="K120">
        <v>2</v>
      </c>
      <c r="L120">
        <v>-1</v>
      </c>
      <c r="M120">
        <v>2.6</v>
      </c>
      <c r="N120">
        <v>1.9</v>
      </c>
      <c r="O120">
        <v>0.70000000000000018</v>
      </c>
      <c r="P120">
        <v>1.7000000000000002</v>
      </c>
      <c r="Q120">
        <v>0</v>
      </c>
      <c r="R120">
        <v>0</v>
      </c>
      <c r="S120" t="s">
        <v>295</v>
      </c>
      <c r="T120">
        <v>0</v>
      </c>
      <c r="U120">
        <v>-1.6</v>
      </c>
      <c r="V120">
        <v>0.10000000000000009</v>
      </c>
    </row>
    <row r="121" spans="1:22" x14ac:dyDescent="0.2">
      <c r="A121" t="s">
        <v>171</v>
      </c>
      <c r="B121">
        <v>26</v>
      </c>
      <c r="C121" s="1">
        <v>44464</v>
      </c>
      <c r="D121" t="s">
        <v>16</v>
      </c>
      <c r="E121">
        <v>2021</v>
      </c>
      <c r="F121" t="s">
        <v>17</v>
      </c>
      <c r="G121" t="s">
        <v>47</v>
      </c>
      <c r="H121" t="s">
        <v>19</v>
      </c>
      <c r="I121" t="s">
        <v>25</v>
      </c>
      <c r="J121">
        <v>0</v>
      </c>
      <c r="K121">
        <v>2</v>
      </c>
      <c r="L121">
        <v>-2</v>
      </c>
      <c r="M121">
        <v>1.3</v>
      </c>
      <c r="N121">
        <v>1.7</v>
      </c>
      <c r="O121">
        <v>-0.39999999999999991</v>
      </c>
      <c r="P121">
        <v>1.6</v>
      </c>
      <c r="Q121">
        <v>0</v>
      </c>
      <c r="R121">
        <v>0</v>
      </c>
      <c r="S121" t="s">
        <v>295</v>
      </c>
      <c r="T121">
        <v>0</v>
      </c>
      <c r="U121">
        <v>-1.3</v>
      </c>
      <c r="V121">
        <v>0.30000000000000004</v>
      </c>
    </row>
    <row r="122" spans="1:22" x14ac:dyDescent="0.2">
      <c r="A122" t="s">
        <v>172</v>
      </c>
      <c r="B122">
        <v>27</v>
      </c>
      <c r="C122" s="1">
        <v>44468</v>
      </c>
      <c r="D122" t="s">
        <v>16</v>
      </c>
      <c r="E122">
        <v>2021</v>
      </c>
      <c r="F122" t="s">
        <v>17</v>
      </c>
      <c r="G122" t="s">
        <v>42</v>
      </c>
      <c r="H122" t="s">
        <v>33</v>
      </c>
      <c r="I122" t="s">
        <v>25</v>
      </c>
      <c r="J122">
        <v>1</v>
      </c>
      <c r="K122">
        <v>2</v>
      </c>
      <c r="L122">
        <v>-1</v>
      </c>
      <c r="M122">
        <v>1.2</v>
      </c>
      <c r="N122">
        <v>1.1000000000000001</v>
      </c>
      <c r="O122">
        <v>9.9999999999999867E-2</v>
      </c>
      <c r="P122">
        <v>1.0999999999999999</v>
      </c>
      <c r="Q122">
        <v>0</v>
      </c>
      <c r="R122">
        <v>0</v>
      </c>
      <c r="S122" t="s">
        <v>295</v>
      </c>
      <c r="T122">
        <v>0</v>
      </c>
      <c r="U122">
        <v>-0.19999999999999996</v>
      </c>
      <c r="V122">
        <v>0.89999999999999991</v>
      </c>
    </row>
    <row r="123" spans="1:22" x14ac:dyDescent="0.2">
      <c r="A123" t="s">
        <v>173</v>
      </c>
      <c r="B123">
        <v>28</v>
      </c>
      <c r="C123" s="1">
        <v>44472</v>
      </c>
      <c r="D123" t="s">
        <v>16</v>
      </c>
      <c r="E123">
        <v>2021</v>
      </c>
      <c r="F123" t="s">
        <v>17</v>
      </c>
      <c r="G123" t="s">
        <v>24</v>
      </c>
      <c r="H123" t="s">
        <v>19</v>
      </c>
      <c r="I123" t="s">
        <v>36</v>
      </c>
      <c r="J123">
        <v>1</v>
      </c>
      <c r="K123">
        <v>1</v>
      </c>
      <c r="L123">
        <v>0</v>
      </c>
      <c r="M123">
        <v>1.3</v>
      </c>
      <c r="N123">
        <v>1.6</v>
      </c>
      <c r="O123">
        <v>-0.30000000000000004</v>
      </c>
      <c r="P123">
        <v>-0.30000000000000004</v>
      </c>
      <c r="Q123">
        <v>0</v>
      </c>
      <c r="R123">
        <v>0</v>
      </c>
      <c r="S123" t="s">
        <v>295</v>
      </c>
      <c r="T123">
        <v>0</v>
      </c>
      <c r="U123">
        <v>-0.30000000000000004</v>
      </c>
      <c r="V123">
        <v>-0.60000000000000009</v>
      </c>
    </row>
    <row r="124" spans="1:22" x14ac:dyDescent="0.2">
      <c r="A124" t="s">
        <v>174</v>
      </c>
      <c r="B124">
        <v>29</v>
      </c>
      <c r="C124" s="1">
        <v>44485</v>
      </c>
      <c r="D124" t="s">
        <v>16</v>
      </c>
      <c r="E124">
        <v>2021</v>
      </c>
      <c r="F124" t="s">
        <v>17</v>
      </c>
      <c r="G124" t="s">
        <v>47</v>
      </c>
      <c r="H124" t="s">
        <v>33</v>
      </c>
      <c r="I124" t="s">
        <v>20</v>
      </c>
      <c r="J124">
        <v>3</v>
      </c>
      <c r="K124">
        <v>1</v>
      </c>
      <c r="L124">
        <v>2</v>
      </c>
      <c r="M124">
        <v>2.8</v>
      </c>
      <c r="N124">
        <v>2.4</v>
      </c>
      <c r="O124">
        <v>0.39999999999999991</v>
      </c>
      <c r="P124">
        <v>-1.6</v>
      </c>
      <c r="Q124">
        <v>0</v>
      </c>
      <c r="R124">
        <v>0</v>
      </c>
      <c r="S124" t="s">
        <v>295</v>
      </c>
      <c r="T124">
        <v>0</v>
      </c>
      <c r="U124">
        <v>0.20000000000000018</v>
      </c>
      <c r="V124">
        <v>-1.4</v>
      </c>
    </row>
    <row r="125" spans="1:22" x14ac:dyDescent="0.2">
      <c r="A125" t="s">
        <v>175</v>
      </c>
      <c r="B125">
        <v>30</v>
      </c>
      <c r="C125" s="1">
        <v>44489</v>
      </c>
      <c r="D125" t="s">
        <v>16</v>
      </c>
      <c r="E125">
        <v>2021</v>
      </c>
      <c r="F125" t="s">
        <v>17</v>
      </c>
      <c r="G125" t="s">
        <v>35</v>
      </c>
      <c r="H125" t="s">
        <v>19</v>
      </c>
      <c r="I125" t="s">
        <v>20</v>
      </c>
      <c r="J125">
        <v>3</v>
      </c>
      <c r="K125">
        <v>2</v>
      </c>
      <c r="L125">
        <v>1</v>
      </c>
      <c r="M125">
        <v>1.8</v>
      </c>
      <c r="N125">
        <v>2</v>
      </c>
      <c r="O125">
        <v>-0.19999999999999996</v>
      </c>
      <c r="P125">
        <v>-1.2</v>
      </c>
      <c r="Q125">
        <v>0</v>
      </c>
      <c r="R125">
        <v>0</v>
      </c>
      <c r="S125" t="s">
        <v>295</v>
      </c>
      <c r="T125">
        <v>0</v>
      </c>
      <c r="U125">
        <v>1.2</v>
      </c>
      <c r="V125">
        <v>0</v>
      </c>
    </row>
    <row r="126" spans="1:22" x14ac:dyDescent="0.2">
      <c r="A126" t="s">
        <v>176</v>
      </c>
      <c r="B126">
        <v>31</v>
      </c>
      <c r="C126" s="1">
        <v>44492</v>
      </c>
      <c r="D126" t="s">
        <v>16</v>
      </c>
      <c r="E126">
        <v>2021</v>
      </c>
      <c r="F126" t="s">
        <v>17</v>
      </c>
      <c r="G126" t="s">
        <v>38</v>
      </c>
      <c r="H126" t="s">
        <v>19</v>
      </c>
      <c r="I126" t="s">
        <v>36</v>
      </c>
      <c r="J126">
        <v>1</v>
      </c>
      <c r="K126">
        <v>1</v>
      </c>
      <c r="L126">
        <v>0</v>
      </c>
      <c r="M126">
        <v>0.6</v>
      </c>
      <c r="N126">
        <v>2.2000000000000002</v>
      </c>
      <c r="O126">
        <v>-1.6</v>
      </c>
      <c r="P126">
        <v>-1.6</v>
      </c>
      <c r="Q126">
        <v>0</v>
      </c>
      <c r="R126">
        <v>0</v>
      </c>
      <c r="S126" t="s">
        <v>295</v>
      </c>
      <c r="T126">
        <v>0</v>
      </c>
      <c r="U126">
        <v>0.4</v>
      </c>
      <c r="V126">
        <v>-1.2000000000000002</v>
      </c>
    </row>
    <row r="127" spans="1:22" x14ac:dyDescent="0.2">
      <c r="A127" t="s">
        <v>177</v>
      </c>
      <c r="B127">
        <v>32</v>
      </c>
      <c r="C127" s="1">
        <v>44495</v>
      </c>
      <c r="D127" t="s">
        <v>16</v>
      </c>
      <c r="E127">
        <v>2021</v>
      </c>
      <c r="F127" t="s">
        <v>17</v>
      </c>
      <c r="G127" t="s">
        <v>18</v>
      </c>
      <c r="H127" t="s">
        <v>33</v>
      </c>
      <c r="I127" t="s">
        <v>20</v>
      </c>
      <c r="J127">
        <v>3</v>
      </c>
      <c r="K127">
        <v>0</v>
      </c>
      <c r="L127">
        <v>3</v>
      </c>
      <c r="M127">
        <v>1.1000000000000001</v>
      </c>
      <c r="N127">
        <v>1.7</v>
      </c>
      <c r="O127">
        <v>-0.59999999999999987</v>
      </c>
      <c r="P127">
        <v>-3.5999999999999996</v>
      </c>
      <c r="Q127">
        <v>12</v>
      </c>
      <c r="R127">
        <v>1</v>
      </c>
      <c r="S127" t="s">
        <v>295</v>
      </c>
      <c r="T127">
        <v>0</v>
      </c>
      <c r="U127">
        <v>1.9</v>
      </c>
      <c r="V127">
        <v>-1.7</v>
      </c>
    </row>
    <row r="128" spans="1:22" x14ac:dyDescent="0.2">
      <c r="A128" t="s">
        <v>178</v>
      </c>
      <c r="B128">
        <v>33</v>
      </c>
      <c r="C128" s="1">
        <v>44502</v>
      </c>
      <c r="D128" t="s">
        <v>16</v>
      </c>
      <c r="E128">
        <v>2021</v>
      </c>
      <c r="F128" t="s">
        <v>17</v>
      </c>
      <c r="G128" t="s">
        <v>29</v>
      </c>
      <c r="H128" t="s">
        <v>33</v>
      </c>
      <c r="I128" t="s">
        <v>36</v>
      </c>
      <c r="J128">
        <v>1</v>
      </c>
      <c r="K128">
        <v>1</v>
      </c>
      <c r="L128">
        <v>0</v>
      </c>
      <c r="M128">
        <v>3.1</v>
      </c>
      <c r="N128">
        <v>0.8</v>
      </c>
      <c r="O128">
        <v>2.2999999999999998</v>
      </c>
      <c r="P128">
        <v>2.2999999999999998</v>
      </c>
      <c r="Q128">
        <v>18</v>
      </c>
      <c r="R128">
        <v>1</v>
      </c>
      <c r="S128" t="s">
        <v>295</v>
      </c>
      <c r="T128">
        <v>0</v>
      </c>
      <c r="U128">
        <v>-2.1</v>
      </c>
      <c r="V128">
        <v>0.19999999999999996</v>
      </c>
    </row>
    <row r="129" spans="1:22" x14ac:dyDescent="0.2">
      <c r="A129" t="s">
        <v>179</v>
      </c>
      <c r="B129">
        <v>34</v>
      </c>
      <c r="C129" s="1">
        <v>44507</v>
      </c>
      <c r="D129" t="s">
        <v>16</v>
      </c>
      <c r="E129">
        <v>2021</v>
      </c>
      <c r="F129" t="s">
        <v>17</v>
      </c>
      <c r="G129" t="s">
        <v>65</v>
      </c>
      <c r="H129" t="s">
        <v>19</v>
      </c>
      <c r="I129" t="s">
        <v>25</v>
      </c>
      <c r="J129">
        <v>2</v>
      </c>
      <c r="K129">
        <v>5</v>
      </c>
      <c r="L129">
        <v>-3</v>
      </c>
      <c r="M129">
        <v>1.8</v>
      </c>
      <c r="N129">
        <v>3.1</v>
      </c>
      <c r="O129">
        <v>-1.3</v>
      </c>
      <c r="P129">
        <v>1.7</v>
      </c>
      <c r="Q129">
        <v>59</v>
      </c>
      <c r="R129">
        <v>1</v>
      </c>
      <c r="S129" t="s">
        <v>295</v>
      </c>
      <c r="T129">
        <v>0</v>
      </c>
      <c r="U129">
        <v>0.19999999999999996</v>
      </c>
      <c r="V129">
        <v>1.9</v>
      </c>
    </row>
    <row r="130" spans="1:22" x14ac:dyDescent="0.2">
      <c r="A130" t="s">
        <v>180</v>
      </c>
      <c r="B130">
        <v>1</v>
      </c>
      <c r="C130" s="1">
        <v>44618</v>
      </c>
      <c r="D130" t="s">
        <v>16</v>
      </c>
      <c r="E130">
        <v>2022</v>
      </c>
      <c r="F130" t="s">
        <v>17</v>
      </c>
      <c r="G130" t="s">
        <v>65</v>
      </c>
      <c r="H130" t="s">
        <v>33</v>
      </c>
      <c r="I130" t="s">
        <v>20</v>
      </c>
      <c r="J130">
        <v>3</v>
      </c>
      <c r="K130">
        <v>0</v>
      </c>
      <c r="L130">
        <v>3</v>
      </c>
      <c r="M130">
        <v>2.4</v>
      </c>
      <c r="N130">
        <v>0.4</v>
      </c>
      <c r="O130">
        <v>2</v>
      </c>
      <c r="P130">
        <v>-1</v>
      </c>
      <c r="Q130">
        <v>86</v>
      </c>
      <c r="R130">
        <v>1</v>
      </c>
      <c r="S130" t="s">
        <v>296</v>
      </c>
      <c r="T130">
        <v>0</v>
      </c>
      <c r="U130">
        <v>0.60000000000000009</v>
      </c>
      <c r="V130">
        <v>-0.4</v>
      </c>
    </row>
    <row r="131" spans="1:22" x14ac:dyDescent="0.2">
      <c r="A131" t="s">
        <v>181</v>
      </c>
      <c r="B131">
        <v>2</v>
      </c>
      <c r="C131" s="1">
        <v>44626</v>
      </c>
      <c r="D131" t="s">
        <v>16</v>
      </c>
      <c r="E131">
        <v>2022</v>
      </c>
      <c r="F131" t="s">
        <v>17</v>
      </c>
      <c r="G131" t="s">
        <v>42</v>
      </c>
      <c r="H131" t="s">
        <v>33</v>
      </c>
      <c r="I131" t="s">
        <v>36</v>
      </c>
      <c r="J131">
        <v>1</v>
      </c>
      <c r="K131">
        <v>1</v>
      </c>
      <c r="L131">
        <v>0</v>
      </c>
      <c r="M131">
        <v>2.2000000000000002</v>
      </c>
      <c r="N131">
        <v>0.6</v>
      </c>
      <c r="O131">
        <v>1.6</v>
      </c>
      <c r="P131">
        <v>1.6</v>
      </c>
      <c r="Q131">
        <v>45</v>
      </c>
      <c r="R131">
        <v>1</v>
      </c>
      <c r="S131" t="s">
        <v>296</v>
      </c>
      <c r="T131">
        <v>0</v>
      </c>
      <c r="U131">
        <v>-1.2000000000000002</v>
      </c>
      <c r="V131">
        <v>0.4</v>
      </c>
    </row>
    <row r="132" spans="1:22" x14ac:dyDescent="0.2">
      <c r="A132" t="s">
        <v>182</v>
      </c>
      <c r="B132">
        <v>3</v>
      </c>
      <c r="C132" s="1">
        <v>44632</v>
      </c>
      <c r="D132" t="s">
        <v>16</v>
      </c>
      <c r="E132">
        <v>2022</v>
      </c>
      <c r="F132" t="s">
        <v>17</v>
      </c>
      <c r="G132" t="s">
        <v>120</v>
      </c>
      <c r="H132" t="s">
        <v>19</v>
      </c>
      <c r="I132" t="s">
        <v>20</v>
      </c>
      <c r="J132">
        <v>2</v>
      </c>
      <c r="K132">
        <v>0</v>
      </c>
      <c r="L132">
        <v>2</v>
      </c>
      <c r="M132">
        <v>0.5</v>
      </c>
      <c r="N132">
        <v>0.4</v>
      </c>
      <c r="O132">
        <v>9.9999999999999978E-2</v>
      </c>
      <c r="P132">
        <v>-1.9</v>
      </c>
      <c r="Q132">
        <v>70</v>
      </c>
      <c r="R132">
        <v>1</v>
      </c>
      <c r="S132" t="s">
        <v>296</v>
      </c>
      <c r="T132">
        <v>0</v>
      </c>
      <c r="U132">
        <v>1.5</v>
      </c>
      <c r="V132">
        <v>-0.4</v>
      </c>
    </row>
    <row r="133" spans="1:22" x14ac:dyDescent="0.2">
      <c r="A133" t="s">
        <v>183</v>
      </c>
      <c r="B133">
        <v>4</v>
      </c>
      <c r="C133" s="1">
        <v>44640</v>
      </c>
      <c r="D133" t="s">
        <v>16</v>
      </c>
      <c r="E133">
        <v>2022</v>
      </c>
      <c r="F133" t="s">
        <v>17</v>
      </c>
      <c r="G133" t="s">
        <v>29</v>
      </c>
      <c r="H133" t="s">
        <v>33</v>
      </c>
      <c r="I133" t="s">
        <v>20</v>
      </c>
      <c r="J133">
        <v>3</v>
      </c>
      <c r="K133">
        <v>1</v>
      </c>
      <c r="L133">
        <v>2</v>
      </c>
      <c r="M133">
        <v>1.7</v>
      </c>
      <c r="N133">
        <v>1.1000000000000001</v>
      </c>
      <c r="O133">
        <v>0.59999999999999987</v>
      </c>
      <c r="P133">
        <v>-1.4000000000000001</v>
      </c>
      <c r="Q133">
        <v>81</v>
      </c>
      <c r="R133">
        <v>1</v>
      </c>
      <c r="S133" t="s">
        <v>296</v>
      </c>
      <c r="T133">
        <v>0</v>
      </c>
      <c r="U133">
        <v>1.3</v>
      </c>
      <c r="V133">
        <v>-0.10000000000000009</v>
      </c>
    </row>
    <row r="134" spans="1:22" x14ac:dyDescent="0.2">
      <c r="A134" t="s">
        <v>184</v>
      </c>
      <c r="B134">
        <v>5</v>
      </c>
      <c r="C134" s="1">
        <v>44653</v>
      </c>
      <c r="D134" t="s">
        <v>16</v>
      </c>
      <c r="E134">
        <v>2022</v>
      </c>
      <c r="F134" t="s">
        <v>17</v>
      </c>
      <c r="G134" t="s">
        <v>55</v>
      </c>
      <c r="H134" t="s">
        <v>19</v>
      </c>
      <c r="I134" t="s">
        <v>20</v>
      </c>
      <c r="J134">
        <v>4</v>
      </c>
      <c r="K134">
        <v>2</v>
      </c>
      <c r="L134">
        <v>2</v>
      </c>
      <c r="M134">
        <v>2.7</v>
      </c>
      <c r="N134">
        <v>1.4</v>
      </c>
      <c r="O134">
        <v>1.3000000000000003</v>
      </c>
      <c r="P134">
        <v>-0.69999999999999973</v>
      </c>
      <c r="Q134">
        <v>74</v>
      </c>
      <c r="R134">
        <v>1</v>
      </c>
      <c r="S134" t="s">
        <v>296</v>
      </c>
      <c r="T134">
        <v>0</v>
      </c>
      <c r="U134">
        <v>1.2999999999999998</v>
      </c>
      <c r="V134">
        <v>0.60000000000000009</v>
      </c>
    </row>
    <row r="135" spans="1:22" x14ac:dyDescent="0.2">
      <c r="A135" t="s">
        <v>185</v>
      </c>
      <c r="B135">
        <v>6</v>
      </c>
      <c r="C135" s="1">
        <v>44660</v>
      </c>
      <c r="D135" t="s">
        <v>16</v>
      </c>
      <c r="E135">
        <v>2022</v>
      </c>
      <c r="F135" t="s">
        <v>17</v>
      </c>
      <c r="G135" t="s">
        <v>24</v>
      </c>
      <c r="H135" t="s">
        <v>19</v>
      </c>
      <c r="I135" t="s">
        <v>25</v>
      </c>
      <c r="J135">
        <v>1</v>
      </c>
      <c r="K135">
        <v>2</v>
      </c>
      <c r="L135">
        <v>-1</v>
      </c>
      <c r="M135">
        <v>2</v>
      </c>
      <c r="N135">
        <v>1</v>
      </c>
      <c r="O135">
        <v>1</v>
      </c>
      <c r="P135">
        <v>2</v>
      </c>
      <c r="Q135">
        <v>90</v>
      </c>
      <c r="R135">
        <v>1</v>
      </c>
      <c r="S135" t="s">
        <v>296</v>
      </c>
      <c r="T135">
        <v>0</v>
      </c>
      <c r="U135">
        <v>-1</v>
      </c>
      <c r="V135">
        <v>1</v>
      </c>
    </row>
    <row r="136" spans="1:22" x14ac:dyDescent="0.2">
      <c r="A136" t="s">
        <v>186</v>
      </c>
      <c r="B136">
        <v>7</v>
      </c>
      <c r="C136" s="1">
        <v>44668</v>
      </c>
      <c r="D136" t="s">
        <v>16</v>
      </c>
      <c r="E136">
        <v>2022</v>
      </c>
      <c r="F136" t="s">
        <v>17</v>
      </c>
      <c r="G136" t="s">
        <v>62</v>
      </c>
      <c r="H136" t="s">
        <v>33</v>
      </c>
      <c r="I136" t="s">
        <v>20</v>
      </c>
      <c r="J136">
        <v>3</v>
      </c>
      <c r="K136">
        <v>1</v>
      </c>
      <c r="L136">
        <v>2</v>
      </c>
      <c r="M136">
        <v>2</v>
      </c>
      <c r="N136">
        <v>1</v>
      </c>
      <c r="O136">
        <v>1</v>
      </c>
      <c r="P136">
        <v>-1</v>
      </c>
      <c r="Q136">
        <v>90</v>
      </c>
      <c r="R136">
        <v>1</v>
      </c>
      <c r="S136" t="s">
        <v>296</v>
      </c>
      <c r="T136">
        <v>0</v>
      </c>
      <c r="U136">
        <v>1</v>
      </c>
      <c r="V136">
        <v>0</v>
      </c>
    </row>
    <row r="137" spans="1:22" x14ac:dyDescent="0.2">
      <c r="A137" t="s">
        <v>187</v>
      </c>
      <c r="B137">
        <v>8</v>
      </c>
      <c r="C137" s="1">
        <v>44675</v>
      </c>
      <c r="D137" t="s">
        <v>16</v>
      </c>
      <c r="E137">
        <v>2022</v>
      </c>
      <c r="F137" t="s">
        <v>17</v>
      </c>
      <c r="G137" t="s">
        <v>87</v>
      </c>
      <c r="H137" t="s">
        <v>19</v>
      </c>
      <c r="I137" t="s">
        <v>20</v>
      </c>
      <c r="J137">
        <v>2</v>
      </c>
      <c r="K137">
        <v>1</v>
      </c>
      <c r="L137">
        <v>1</v>
      </c>
      <c r="M137">
        <v>1.8</v>
      </c>
      <c r="N137">
        <v>1.5</v>
      </c>
      <c r="O137">
        <v>0.30000000000000004</v>
      </c>
      <c r="P137">
        <v>-0.7</v>
      </c>
      <c r="Q137">
        <v>87</v>
      </c>
      <c r="R137">
        <v>1</v>
      </c>
      <c r="S137" t="s">
        <v>296</v>
      </c>
      <c r="T137">
        <v>0</v>
      </c>
      <c r="U137">
        <v>0.19999999999999996</v>
      </c>
      <c r="V137">
        <v>-0.5</v>
      </c>
    </row>
    <row r="138" spans="1:22" x14ac:dyDescent="0.2">
      <c r="A138" t="s">
        <v>188</v>
      </c>
      <c r="B138">
        <v>9</v>
      </c>
      <c r="C138" s="1">
        <v>44682</v>
      </c>
      <c r="D138" t="s">
        <v>16</v>
      </c>
      <c r="E138">
        <v>2022</v>
      </c>
      <c r="F138" t="s">
        <v>17</v>
      </c>
      <c r="G138" t="s">
        <v>38</v>
      </c>
      <c r="H138" t="s">
        <v>33</v>
      </c>
      <c r="I138" t="s">
        <v>20</v>
      </c>
      <c r="J138">
        <v>2</v>
      </c>
      <c r="K138">
        <v>0</v>
      </c>
      <c r="L138">
        <v>2</v>
      </c>
      <c r="M138">
        <v>2.2999999999999998</v>
      </c>
      <c r="N138">
        <v>0.7</v>
      </c>
      <c r="O138">
        <v>1.5999999999999999</v>
      </c>
      <c r="P138">
        <v>-0.40000000000000013</v>
      </c>
      <c r="Q138">
        <v>88</v>
      </c>
      <c r="R138">
        <v>1</v>
      </c>
      <c r="S138" t="s">
        <v>296</v>
      </c>
      <c r="T138">
        <v>0</v>
      </c>
      <c r="U138">
        <v>-0.29999999999999982</v>
      </c>
      <c r="V138">
        <v>-0.7</v>
      </c>
    </row>
    <row r="139" spans="1:22" x14ac:dyDescent="0.2">
      <c r="A139" t="s">
        <v>189</v>
      </c>
      <c r="B139">
        <v>10</v>
      </c>
      <c r="C139" s="1">
        <v>44688</v>
      </c>
      <c r="D139" t="s">
        <v>16</v>
      </c>
      <c r="E139">
        <v>2022</v>
      </c>
      <c r="F139" t="s">
        <v>17</v>
      </c>
      <c r="G139" t="s">
        <v>51</v>
      </c>
      <c r="H139" t="s">
        <v>33</v>
      </c>
      <c r="I139" t="s">
        <v>36</v>
      </c>
      <c r="J139">
        <v>2</v>
      </c>
      <c r="K139">
        <v>2</v>
      </c>
      <c r="L139">
        <v>0</v>
      </c>
      <c r="M139">
        <v>1.4</v>
      </c>
      <c r="N139">
        <v>1.1000000000000001</v>
      </c>
      <c r="O139">
        <v>0.29999999999999982</v>
      </c>
      <c r="P139">
        <v>0.29999999999999982</v>
      </c>
      <c r="Q139">
        <v>90</v>
      </c>
      <c r="R139">
        <v>1</v>
      </c>
      <c r="S139" t="s">
        <v>296</v>
      </c>
      <c r="T139">
        <v>0</v>
      </c>
      <c r="U139">
        <v>0.60000000000000009</v>
      </c>
      <c r="V139">
        <v>0.89999999999999991</v>
      </c>
    </row>
    <row r="140" spans="1:22" x14ac:dyDescent="0.2">
      <c r="A140" t="s">
        <v>190</v>
      </c>
      <c r="B140">
        <v>11</v>
      </c>
      <c r="C140" s="1">
        <v>44695</v>
      </c>
      <c r="D140" t="s">
        <v>16</v>
      </c>
      <c r="E140">
        <v>2022</v>
      </c>
      <c r="F140" t="s">
        <v>17</v>
      </c>
      <c r="G140" t="s">
        <v>65</v>
      </c>
      <c r="H140" t="s">
        <v>19</v>
      </c>
      <c r="I140" t="s">
        <v>25</v>
      </c>
      <c r="J140">
        <v>0</v>
      </c>
      <c r="K140">
        <v>2</v>
      </c>
      <c r="L140">
        <v>-2</v>
      </c>
      <c r="M140">
        <v>1.3</v>
      </c>
      <c r="N140">
        <v>3.1</v>
      </c>
      <c r="O140">
        <v>-1.8</v>
      </c>
      <c r="P140">
        <v>0.19999999999999996</v>
      </c>
      <c r="Q140">
        <v>90</v>
      </c>
      <c r="R140">
        <v>1</v>
      </c>
      <c r="S140" t="s">
        <v>296</v>
      </c>
      <c r="T140">
        <v>0</v>
      </c>
      <c r="U140">
        <v>-1.3</v>
      </c>
      <c r="V140">
        <v>-1.1000000000000001</v>
      </c>
    </row>
    <row r="141" spans="1:22" x14ac:dyDescent="0.2">
      <c r="A141" t="s">
        <v>191</v>
      </c>
      <c r="B141">
        <v>12</v>
      </c>
      <c r="C141" s="1">
        <v>44699</v>
      </c>
      <c r="D141" t="s">
        <v>16</v>
      </c>
      <c r="E141">
        <v>2022</v>
      </c>
      <c r="F141" t="s">
        <v>17</v>
      </c>
      <c r="G141" t="s">
        <v>146</v>
      </c>
      <c r="H141" t="s">
        <v>33</v>
      </c>
      <c r="I141" t="s">
        <v>25</v>
      </c>
      <c r="J141">
        <v>1</v>
      </c>
      <c r="K141">
        <v>2</v>
      </c>
      <c r="L141">
        <v>-1</v>
      </c>
      <c r="M141">
        <v>1.9</v>
      </c>
      <c r="N141">
        <v>0.7</v>
      </c>
      <c r="O141">
        <v>1.2</v>
      </c>
      <c r="P141">
        <v>2.2000000000000002</v>
      </c>
      <c r="Q141">
        <v>90</v>
      </c>
      <c r="R141">
        <v>1</v>
      </c>
      <c r="S141" t="s">
        <v>296</v>
      </c>
      <c r="T141">
        <v>0</v>
      </c>
      <c r="U141">
        <v>-0.89999999999999991</v>
      </c>
      <c r="V141">
        <v>1.3</v>
      </c>
    </row>
    <row r="142" spans="1:22" x14ac:dyDescent="0.2">
      <c r="A142" t="s">
        <v>192</v>
      </c>
      <c r="B142">
        <v>13</v>
      </c>
      <c r="C142" s="1">
        <v>44702</v>
      </c>
      <c r="D142" t="s">
        <v>16</v>
      </c>
      <c r="E142">
        <v>2022</v>
      </c>
      <c r="F142" t="s">
        <v>17</v>
      </c>
      <c r="G142" t="s">
        <v>49</v>
      </c>
      <c r="H142" t="s">
        <v>19</v>
      </c>
      <c r="I142" t="s">
        <v>20</v>
      </c>
      <c r="J142">
        <v>2</v>
      </c>
      <c r="K142">
        <v>0</v>
      </c>
      <c r="L142">
        <v>2</v>
      </c>
      <c r="M142">
        <v>1.8</v>
      </c>
      <c r="N142">
        <v>0.9</v>
      </c>
      <c r="O142">
        <v>0.9</v>
      </c>
      <c r="P142">
        <v>-1.1000000000000001</v>
      </c>
      <c r="Q142">
        <v>45</v>
      </c>
      <c r="R142">
        <v>1</v>
      </c>
      <c r="S142" t="s">
        <v>296</v>
      </c>
      <c r="T142">
        <v>0</v>
      </c>
      <c r="U142">
        <v>0.19999999999999996</v>
      </c>
      <c r="V142">
        <v>-0.9</v>
      </c>
    </row>
    <row r="143" spans="1:22" x14ac:dyDescent="0.2">
      <c r="A143" t="s">
        <v>193</v>
      </c>
      <c r="B143">
        <v>14</v>
      </c>
      <c r="C143" s="1">
        <v>44709</v>
      </c>
      <c r="D143" t="s">
        <v>16</v>
      </c>
      <c r="E143">
        <v>2022</v>
      </c>
      <c r="F143" t="s">
        <v>17</v>
      </c>
      <c r="G143" t="s">
        <v>47</v>
      </c>
      <c r="H143" t="s">
        <v>33</v>
      </c>
      <c r="I143" t="s">
        <v>20</v>
      </c>
      <c r="J143">
        <v>3</v>
      </c>
      <c r="K143">
        <v>2</v>
      </c>
      <c r="L143">
        <v>1</v>
      </c>
      <c r="M143">
        <v>2.1</v>
      </c>
      <c r="N143">
        <v>1.9</v>
      </c>
      <c r="O143">
        <v>0.20000000000000018</v>
      </c>
      <c r="P143">
        <v>-0.79999999999999982</v>
      </c>
      <c r="Q143">
        <v>0</v>
      </c>
      <c r="R143">
        <v>0</v>
      </c>
      <c r="S143" t="s">
        <v>296</v>
      </c>
      <c r="T143">
        <v>0</v>
      </c>
      <c r="U143">
        <v>0.89999999999999991</v>
      </c>
      <c r="V143">
        <v>0.10000000000000009</v>
      </c>
    </row>
    <row r="144" spans="1:22" x14ac:dyDescent="0.2">
      <c r="A144" t="s">
        <v>194</v>
      </c>
      <c r="B144">
        <v>15</v>
      </c>
      <c r="C144" s="1">
        <v>44730</v>
      </c>
      <c r="D144" t="s">
        <v>16</v>
      </c>
      <c r="E144">
        <v>2022</v>
      </c>
      <c r="F144" t="s">
        <v>17</v>
      </c>
      <c r="G144" t="s">
        <v>18</v>
      </c>
      <c r="H144" t="s">
        <v>19</v>
      </c>
      <c r="I144" t="s">
        <v>36</v>
      </c>
      <c r="J144">
        <v>1</v>
      </c>
      <c r="K144">
        <v>1</v>
      </c>
      <c r="L144">
        <v>0</v>
      </c>
      <c r="M144">
        <v>1.3</v>
      </c>
      <c r="N144">
        <v>1.2</v>
      </c>
      <c r="O144">
        <v>0.10000000000000009</v>
      </c>
      <c r="P144">
        <v>0.10000000000000009</v>
      </c>
      <c r="Q144">
        <v>45</v>
      </c>
      <c r="R144">
        <v>1</v>
      </c>
      <c r="S144" t="s">
        <v>296</v>
      </c>
      <c r="T144">
        <v>0</v>
      </c>
      <c r="U144">
        <v>-0.30000000000000004</v>
      </c>
      <c r="V144">
        <v>-0.19999999999999996</v>
      </c>
    </row>
    <row r="145" spans="1:22" x14ac:dyDescent="0.2">
      <c r="A145" t="s">
        <v>195</v>
      </c>
      <c r="B145">
        <v>16</v>
      </c>
      <c r="C145" s="1">
        <v>44738</v>
      </c>
      <c r="D145" t="s">
        <v>16</v>
      </c>
      <c r="E145">
        <v>2022</v>
      </c>
      <c r="F145" t="s">
        <v>17</v>
      </c>
      <c r="G145" t="s">
        <v>60</v>
      </c>
      <c r="H145" t="s">
        <v>33</v>
      </c>
      <c r="I145" t="s">
        <v>20</v>
      </c>
      <c r="J145">
        <v>2</v>
      </c>
      <c r="K145">
        <v>0</v>
      </c>
      <c r="L145">
        <v>2</v>
      </c>
      <c r="M145">
        <v>1.7</v>
      </c>
      <c r="N145">
        <v>0.6</v>
      </c>
      <c r="O145">
        <v>1.1000000000000001</v>
      </c>
      <c r="P145">
        <v>-0.89999999999999991</v>
      </c>
      <c r="Q145">
        <v>90</v>
      </c>
      <c r="R145">
        <v>1</v>
      </c>
      <c r="S145" t="s">
        <v>296</v>
      </c>
      <c r="T145">
        <v>0</v>
      </c>
      <c r="U145">
        <v>0.30000000000000004</v>
      </c>
      <c r="V145">
        <v>-0.6</v>
      </c>
    </row>
    <row r="146" spans="1:22" x14ac:dyDescent="0.2">
      <c r="A146" t="s">
        <v>196</v>
      </c>
      <c r="B146">
        <v>17</v>
      </c>
      <c r="C146" s="1">
        <v>44741</v>
      </c>
      <c r="D146" t="s">
        <v>16</v>
      </c>
      <c r="E146">
        <v>2022</v>
      </c>
      <c r="F146" t="s">
        <v>17</v>
      </c>
      <c r="G146" t="s">
        <v>35</v>
      </c>
      <c r="H146" t="s">
        <v>33</v>
      </c>
      <c r="I146" t="s">
        <v>20</v>
      </c>
      <c r="J146">
        <v>3</v>
      </c>
      <c r="K146">
        <v>1</v>
      </c>
      <c r="L146">
        <v>2</v>
      </c>
      <c r="M146">
        <v>1.9</v>
      </c>
      <c r="N146">
        <v>0.6</v>
      </c>
      <c r="O146">
        <v>1.2999999999999998</v>
      </c>
      <c r="P146">
        <v>-0.70000000000000018</v>
      </c>
      <c r="Q146">
        <v>90</v>
      </c>
      <c r="R146">
        <v>1</v>
      </c>
      <c r="S146" t="s">
        <v>296</v>
      </c>
      <c r="T146">
        <v>0</v>
      </c>
      <c r="U146">
        <v>1.1000000000000001</v>
      </c>
      <c r="V146">
        <v>0.4</v>
      </c>
    </row>
    <row r="147" spans="1:22" x14ac:dyDescent="0.2">
      <c r="A147" t="s">
        <v>197</v>
      </c>
      <c r="B147">
        <v>18</v>
      </c>
      <c r="C147" s="1">
        <v>44744</v>
      </c>
      <c r="D147" t="s">
        <v>16</v>
      </c>
      <c r="E147">
        <v>2022</v>
      </c>
      <c r="F147" t="s">
        <v>17</v>
      </c>
      <c r="G147" t="s">
        <v>29</v>
      </c>
      <c r="H147" t="s">
        <v>19</v>
      </c>
      <c r="I147" t="s">
        <v>25</v>
      </c>
      <c r="J147">
        <v>0</v>
      </c>
      <c r="K147">
        <v>1</v>
      </c>
      <c r="L147">
        <v>-1</v>
      </c>
      <c r="M147">
        <v>0.4</v>
      </c>
      <c r="N147">
        <v>0.9</v>
      </c>
      <c r="O147">
        <v>-0.5</v>
      </c>
      <c r="P147">
        <v>0.5</v>
      </c>
      <c r="Q147">
        <v>0</v>
      </c>
      <c r="R147">
        <v>0</v>
      </c>
      <c r="S147" t="s">
        <v>296</v>
      </c>
      <c r="T147">
        <v>0</v>
      </c>
      <c r="U147">
        <v>-0.4</v>
      </c>
      <c r="V147">
        <v>9.9999999999999978E-2</v>
      </c>
    </row>
    <row r="148" spans="1:22" x14ac:dyDescent="0.2">
      <c r="A148" t="s">
        <v>198</v>
      </c>
      <c r="B148">
        <v>19</v>
      </c>
      <c r="C148" s="1">
        <v>44750</v>
      </c>
      <c r="D148" t="s">
        <v>16</v>
      </c>
      <c r="E148">
        <v>2022</v>
      </c>
      <c r="F148" t="s">
        <v>17</v>
      </c>
      <c r="G148" t="s">
        <v>24</v>
      </c>
      <c r="H148" t="s">
        <v>33</v>
      </c>
      <c r="I148" t="s">
        <v>20</v>
      </c>
      <c r="J148">
        <v>3</v>
      </c>
      <c r="K148">
        <v>2</v>
      </c>
      <c r="L148">
        <v>1</v>
      </c>
      <c r="M148">
        <v>1.5</v>
      </c>
      <c r="N148">
        <v>1.7</v>
      </c>
      <c r="O148">
        <v>-0.19999999999999996</v>
      </c>
      <c r="P148">
        <v>-1.2</v>
      </c>
      <c r="Q148">
        <v>90</v>
      </c>
      <c r="R148">
        <v>1</v>
      </c>
      <c r="S148" t="s">
        <v>296</v>
      </c>
      <c r="T148">
        <v>0</v>
      </c>
      <c r="U148">
        <v>1.5</v>
      </c>
      <c r="V148">
        <v>0.30000000000000004</v>
      </c>
    </row>
    <row r="149" spans="1:22" x14ac:dyDescent="0.2">
      <c r="A149" t="s">
        <v>199</v>
      </c>
      <c r="B149">
        <v>20</v>
      </c>
      <c r="C149" s="1">
        <v>44759</v>
      </c>
      <c r="D149" t="s">
        <v>16</v>
      </c>
      <c r="E149">
        <v>2022</v>
      </c>
      <c r="F149" t="s">
        <v>17</v>
      </c>
      <c r="G149" t="s">
        <v>200</v>
      </c>
      <c r="H149" t="s">
        <v>19</v>
      </c>
      <c r="I149" t="s">
        <v>20</v>
      </c>
      <c r="J149">
        <v>2</v>
      </c>
      <c r="K149">
        <v>1</v>
      </c>
      <c r="L149">
        <v>1</v>
      </c>
      <c r="M149">
        <v>1.6</v>
      </c>
      <c r="N149">
        <v>2</v>
      </c>
      <c r="O149">
        <v>-0.39999999999999991</v>
      </c>
      <c r="P149">
        <v>-1.4</v>
      </c>
      <c r="Q149">
        <v>90</v>
      </c>
      <c r="R149">
        <v>1</v>
      </c>
      <c r="S149" t="s">
        <v>296</v>
      </c>
      <c r="T149">
        <v>0</v>
      </c>
      <c r="U149">
        <v>0.39999999999999991</v>
      </c>
      <c r="V149">
        <v>-1</v>
      </c>
    </row>
    <row r="150" spans="1:22" x14ac:dyDescent="0.2">
      <c r="A150" t="s">
        <v>201</v>
      </c>
      <c r="B150">
        <v>21</v>
      </c>
      <c r="C150" s="1">
        <v>44765</v>
      </c>
      <c r="D150" t="s">
        <v>16</v>
      </c>
      <c r="E150">
        <v>2022</v>
      </c>
      <c r="F150" t="s">
        <v>17</v>
      </c>
      <c r="G150" t="s">
        <v>62</v>
      </c>
      <c r="H150" t="s">
        <v>19</v>
      </c>
      <c r="I150" t="s">
        <v>20</v>
      </c>
      <c r="J150">
        <v>2</v>
      </c>
      <c r="K150">
        <v>0</v>
      </c>
      <c r="L150">
        <v>2</v>
      </c>
      <c r="M150">
        <v>1</v>
      </c>
      <c r="N150">
        <v>0.5</v>
      </c>
      <c r="O150">
        <v>0.5</v>
      </c>
      <c r="P150">
        <v>-1.5</v>
      </c>
      <c r="Q150">
        <v>78</v>
      </c>
      <c r="R150">
        <v>1</v>
      </c>
      <c r="S150" t="s">
        <v>296</v>
      </c>
      <c r="T150">
        <v>0</v>
      </c>
      <c r="U150">
        <v>1</v>
      </c>
      <c r="V150">
        <v>-0.5</v>
      </c>
    </row>
    <row r="151" spans="1:22" x14ac:dyDescent="0.2">
      <c r="A151" t="s">
        <v>202</v>
      </c>
      <c r="B151">
        <v>22</v>
      </c>
      <c r="C151" s="1">
        <v>44771</v>
      </c>
      <c r="D151" t="s">
        <v>16</v>
      </c>
      <c r="E151">
        <v>2022</v>
      </c>
      <c r="F151" t="s">
        <v>17</v>
      </c>
      <c r="G151" t="s">
        <v>18</v>
      </c>
      <c r="H151" t="s">
        <v>33</v>
      </c>
      <c r="I151" t="s">
        <v>20</v>
      </c>
      <c r="J151">
        <v>2</v>
      </c>
      <c r="K151">
        <v>1</v>
      </c>
      <c r="L151">
        <v>1</v>
      </c>
      <c r="M151">
        <v>1.6</v>
      </c>
      <c r="N151">
        <v>0.9</v>
      </c>
      <c r="O151">
        <v>0.70000000000000007</v>
      </c>
      <c r="P151">
        <v>-0.29999999999999993</v>
      </c>
      <c r="Q151">
        <v>90</v>
      </c>
      <c r="R151">
        <v>1</v>
      </c>
      <c r="S151" t="s">
        <v>296</v>
      </c>
      <c r="T151">
        <v>0</v>
      </c>
      <c r="U151">
        <v>0.39999999999999991</v>
      </c>
      <c r="V151">
        <v>9.9999999999999978E-2</v>
      </c>
    </row>
    <row r="152" spans="1:22" x14ac:dyDescent="0.2">
      <c r="A152" t="s">
        <v>203</v>
      </c>
      <c r="B152">
        <v>23</v>
      </c>
      <c r="C152" s="1">
        <v>44779</v>
      </c>
      <c r="D152" t="s">
        <v>16</v>
      </c>
      <c r="E152">
        <v>2022</v>
      </c>
      <c r="F152" t="s">
        <v>17</v>
      </c>
      <c r="G152" t="s">
        <v>22</v>
      </c>
      <c r="H152" t="s">
        <v>19</v>
      </c>
      <c r="I152" t="s">
        <v>20</v>
      </c>
      <c r="J152">
        <v>4</v>
      </c>
      <c r="K152">
        <v>1</v>
      </c>
      <c r="L152">
        <v>3</v>
      </c>
      <c r="M152">
        <v>1.4</v>
      </c>
      <c r="N152">
        <v>0.7</v>
      </c>
      <c r="O152">
        <v>0.7</v>
      </c>
      <c r="P152">
        <v>-2.2999999999999998</v>
      </c>
      <c r="Q152">
        <v>64</v>
      </c>
      <c r="R152">
        <v>1</v>
      </c>
      <c r="S152" t="s">
        <v>296</v>
      </c>
      <c r="T152">
        <v>0</v>
      </c>
      <c r="U152">
        <v>2.6</v>
      </c>
      <c r="V152">
        <v>0.30000000000000004</v>
      </c>
    </row>
    <row r="153" spans="1:22" x14ac:dyDescent="0.2">
      <c r="A153" t="s">
        <v>204</v>
      </c>
      <c r="B153">
        <v>24</v>
      </c>
      <c r="C153" s="1">
        <v>44786</v>
      </c>
      <c r="D153" t="s">
        <v>16</v>
      </c>
      <c r="E153">
        <v>2022</v>
      </c>
      <c r="F153" t="s">
        <v>17</v>
      </c>
      <c r="G153" t="s">
        <v>205</v>
      </c>
      <c r="H153" t="s">
        <v>33</v>
      </c>
      <c r="I153" t="s">
        <v>20</v>
      </c>
      <c r="J153">
        <v>5</v>
      </c>
      <c r="K153">
        <v>0</v>
      </c>
      <c r="L153">
        <v>5</v>
      </c>
      <c r="M153">
        <v>2.6</v>
      </c>
      <c r="N153">
        <v>0.2</v>
      </c>
      <c r="O153">
        <v>2.4</v>
      </c>
      <c r="P153">
        <v>-2.6</v>
      </c>
      <c r="Q153">
        <v>74</v>
      </c>
      <c r="R153">
        <v>1</v>
      </c>
      <c r="S153" t="s">
        <v>296</v>
      </c>
      <c r="T153">
        <v>0</v>
      </c>
      <c r="U153">
        <v>2.4</v>
      </c>
      <c r="V153">
        <v>-0.2</v>
      </c>
    </row>
    <row r="154" spans="1:22" x14ac:dyDescent="0.2">
      <c r="A154" t="s">
        <v>206</v>
      </c>
      <c r="B154">
        <v>25</v>
      </c>
      <c r="C154" s="1">
        <v>44789</v>
      </c>
      <c r="D154" t="s">
        <v>16</v>
      </c>
      <c r="E154">
        <v>2022</v>
      </c>
      <c r="F154" t="s">
        <v>17</v>
      </c>
      <c r="G154" t="s">
        <v>44</v>
      </c>
      <c r="H154" t="s">
        <v>33</v>
      </c>
      <c r="I154" t="s">
        <v>20</v>
      </c>
      <c r="J154">
        <v>1</v>
      </c>
      <c r="K154">
        <v>0</v>
      </c>
      <c r="L154">
        <v>1</v>
      </c>
      <c r="M154">
        <v>2</v>
      </c>
      <c r="N154">
        <v>0.6</v>
      </c>
      <c r="O154">
        <v>1.4</v>
      </c>
      <c r="P154">
        <v>0.39999999999999991</v>
      </c>
      <c r="Q154">
        <v>73</v>
      </c>
      <c r="R154">
        <v>1</v>
      </c>
      <c r="S154" t="s">
        <v>296</v>
      </c>
      <c r="T154">
        <v>0</v>
      </c>
      <c r="U154">
        <v>-1</v>
      </c>
      <c r="V154">
        <v>-0.6</v>
      </c>
    </row>
    <row r="155" spans="1:22" x14ac:dyDescent="0.2">
      <c r="A155" t="s">
        <v>207</v>
      </c>
      <c r="B155">
        <v>26</v>
      </c>
      <c r="C155" s="1">
        <v>44793</v>
      </c>
      <c r="D155" t="s">
        <v>16</v>
      </c>
      <c r="E155">
        <v>2022</v>
      </c>
      <c r="F155" t="s">
        <v>17</v>
      </c>
      <c r="G155" t="s">
        <v>47</v>
      </c>
      <c r="H155" t="s">
        <v>19</v>
      </c>
      <c r="I155" t="s">
        <v>25</v>
      </c>
      <c r="J155">
        <v>1</v>
      </c>
      <c r="K155">
        <v>2</v>
      </c>
      <c r="L155">
        <v>-1</v>
      </c>
      <c r="M155">
        <v>1.3</v>
      </c>
      <c r="N155">
        <v>0.9</v>
      </c>
      <c r="O155">
        <v>0.4</v>
      </c>
      <c r="P155">
        <v>1.4</v>
      </c>
      <c r="Q155">
        <v>26</v>
      </c>
      <c r="R155">
        <v>1</v>
      </c>
      <c r="S155" t="s">
        <v>296</v>
      </c>
      <c r="T155">
        <v>0</v>
      </c>
      <c r="U155">
        <v>-0.30000000000000004</v>
      </c>
      <c r="V155">
        <v>1.1000000000000001</v>
      </c>
    </row>
    <row r="156" spans="1:22" x14ac:dyDescent="0.2">
      <c r="A156" t="s">
        <v>208</v>
      </c>
      <c r="B156">
        <v>27</v>
      </c>
      <c r="C156" s="1">
        <v>44799</v>
      </c>
      <c r="D156" t="s">
        <v>16</v>
      </c>
      <c r="E156">
        <v>2022</v>
      </c>
      <c r="F156" t="s">
        <v>17</v>
      </c>
      <c r="G156" t="s">
        <v>146</v>
      </c>
      <c r="H156" t="s">
        <v>19</v>
      </c>
      <c r="I156" t="s">
        <v>25</v>
      </c>
      <c r="J156">
        <v>1</v>
      </c>
      <c r="K156">
        <v>4</v>
      </c>
      <c r="L156">
        <v>-3</v>
      </c>
      <c r="M156">
        <v>1.5</v>
      </c>
      <c r="N156">
        <v>0.6</v>
      </c>
      <c r="O156">
        <v>0.9</v>
      </c>
      <c r="P156">
        <v>3.9</v>
      </c>
      <c r="Q156">
        <v>77</v>
      </c>
      <c r="R156">
        <v>1</v>
      </c>
      <c r="S156" t="s">
        <v>296</v>
      </c>
      <c r="T156">
        <v>0</v>
      </c>
      <c r="U156">
        <v>-0.5</v>
      </c>
      <c r="V156">
        <v>3.4</v>
      </c>
    </row>
    <row r="157" spans="1:22" x14ac:dyDescent="0.2">
      <c r="A157" t="s">
        <v>209</v>
      </c>
      <c r="B157">
        <v>28</v>
      </c>
      <c r="C157" s="1">
        <v>44804</v>
      </c>
      <c r="D157" t="s">
        <v>16</v>
      </c>
      <c r="E157">
        <v>2022</v>
      </c>
      <c r="F157" t="s">
        <v>17</v>
      </c>
      <c r="G157" t="s">
        <v>53</v>
      </c>
      <c r="H157" t="s">
        <v>19</v>
      </c>
      <c r="I157" t="s">
        <v>25</v>
      </c>
      <c r="J157">
        <v>1</v>
      </c>
      <c r="K157">
        <v>2</v>
      </c>
      <c r="L157">
        <v>-1</v>
      </c>
      <c r="M157">
        <v>2.7</v>
      </c>
      <c r="N157">
        <v>1.4</v>
      </c>
      <c r="O157">
        <v>1.3000000000000003</v>
      </c>
      <c r="P157">
        <v>2.3000000000000003</v>
      </c>
      <c r="Q157">
        <v>59</v>
      </c>
      <c r="R157">
        <v>1</v>
      </c>
      <c r="S157" t="s">
        <v>296</v>
      </c>
      <c r="T157">
        <v>0</v>
      </c>
      <c r="U157">
        <v>-1.7000000000000002</v>
      </c>
      <c r="V157">
        <v>0.60000000000000009</v>
      </c>
    </row>
    <row r="158" spans="1:22" x14ac:dyDescent="0.2">
      <c r="A158" t="s">
        <v>210</v>
      </c>
      <c r="B158">
        <v>29</v>
      </c>
      <c r="C158" s="1">
        <v>44808</v>
      </c>
      <c r="D158" t="s">
        <v>16</v>
      </c>
      <c r="E158">
        <v>2022</v>
      </c>
      <c r="F158" t="s">
        <v>17</v>
      </c>
      <c r="G158" t="s">
        <v>22</v>
      </c>
      <c r="H158" t="s">
        <v>33</v>
      </c>
      <c r="I158" t="s">
        <v>20</v>
      </c>
      <c r="J158">
        <v>2</v>
      </c>
      <c r="K158">
        <v>0</v>
      </c>
      <c r="L158">
        <v>2</v>
      </c>
      <c r="M158">
        <v>3.1</v>
      </c>
      <c r="N158">
        <v>0.3</v>
      </c>
      <c r="O158">
        <v>2.8000000000000003</v>
      </c>
      <c r="P158">
        <v>0.80000000000000027</v>
      </c>
      <c r="Q158">
        <v>32</v>
      </c>
      <c r="R158">
        <v>1</v>
      </c>
      <c r="S158" t="s">
        <v>296</v>
      </c>
      <c r="T158">
        <v>0</v>
      </c>
      <c r="U158">
        <v>-1.1000000000000001</v>
      </c>
      <c r="V158">
        <v>-0.3</v>
      </c>
    </row>
    <row r="159" spans="1:22" x14ac:dyDescent="0.2">
      <c r="A159" t="s">
        <v>211</v>
      </c>
      <c r="B159">
        <v>30</v>
      </c>
      <c r="C159" s="1">
        <v>44814</v>
      </c>
      <c r="D159" t="s">
        <v>16</v>
      </c>
      <c r="E159">
        <v>2022</v>
      </c>
      <c r="F159" t="s">
        <v>17</v>
      </c>
      <c r="G159" t="s">
        <v>35</v>
      </c>
      <c r="H159" t="s">
        <v>19</v>
      </c>
      <c r="I159" t="s">
        <v>25</v>
      </c>
      <c r="J159">
        <v>1</v>
      </c>
      <c r="K159">
        <v>2</v>
      </c>
      <c r="L159">
        <v>-1</v>
      </c>
      <c r="M159">
        <v>1.1000000000000001</v>
      </c>
      <c r="N159">
        <v>0.9</v>
      </c>
      <c r="O159">
        <v>0.20000000000000007</v>
      </c>
      <c r="P159">
        <v>1.2000000000000002</v>
      </c>
      <c r="Q159">
        <v>59</v>
      </c>
      <c r="R159">
        <v>1</v>
      </c>
      <c r="S159" t="s">
        <v>296</v>
      </c>
      <c r="T159">
        <v>0</v>
      </c>
      <c r="U159">
        <v>-0.10000000000000009</v>
      </c>
      <c r="V159">
        <v>1.1000000000000001</v>
      </c>
    </row>
    <row r="160" spans="1:22" x14ac:dyDescent="0.2">
      <c r="A160" t="s">
        <v>212</v>
      </c>
      <c r="B160">
        <v>31</v>
      </c>
      <c r="C160" s="1">
        <v>44817</v>
      </c>
      <c r="D160" t="s">
        <v>16</v>
      </c>
      <c r="E160">
        <v>2022</v>
      </c>
      <c r="F160" t="s">
        <v>17</v>
      </c>
      <c r="G160" t="s">
        <v>38</v>
      </c>
      <c r="H160" t="s">
        <v>19</v>
      </c>
      <c r="I160" t="s">
        <v>36</v>
      </c>
      <c r="J160">
        <v>1</v>
      </c>
      <c r="K160">
        <v>1</v>
      </c>
      <c r="L160">
        <v>0</v>
      </c>
      <c r="M160">
        <v>1.1000000000000001</v>
      </c>
      <c r="N160">
        <v>1.6</v>
      </c>
      <c r="O160">
        <v>-0.5</v>
      </c>
      <c r="P160">
        <v>-0.5</v>
      </c>
      <c r="Q160">
        <v>90</v>
      </c>
      <c r="R160">
        <v>1</v>
      </c>
      <c r="S160" t="s">
        <v>296</v>
      </c>
      <c r="T160">
        <v>0</v>
      </c>
      <c r="U160">
        <v>-0.10000000000000009</v>
      </c>
      <c r="V160">
        <v>-0.60000000000000009</v>
      </c>
    </row>
    <row r="161" spans="1:22" x14ac:dyDescent="0.2">
      <c r="A161" t="s">
        <v>213</v>
      </c>
      <c r="B161">
        <v>32</v>
      </c>
      <c r="C161" s="1">
        <v>44822</v>
      </c>
      <c r="D161" t="s">
        <v>16</v>
      </c>
      <c r="E161">
        <v>2022</v>
      </c>
      <c r="F161" t="s">
        <v>17</v>
      </c>
      <c r="G161" t="s">
        <v>53</v>
      </c>
      <c r="H161" t="s">
        <v>33</v>
      </c>
      <c r="I161" t="s">
        <v>20</v>
      </c>
      <c r="J161">
        <v>3</v>
      </c>
      <c r="K161">
        <v>1</v>
      </c>
      <c r="L161">
        <v>2</v>
      </c>
      <c r="M161">
        <v>3</v>
      </c>
      <c r="N161">
        <v>0.9</v>
      </c>
      <c r="O161">
        <v>2.1</v>
      </c>
      <c r="P161">
        <v>0.10000000000000009</v>
      </c>
      <c r="Q161">
        <v>63</v>
      </c>
      <c r="R161">
        <v>1</v>
      </c>
      <c r="S161" t="s">
        <v>296</v>
      </c>
      <c r="T161">
        <v>0</v>
      </c>
      <c r="U161">
        <v>0</v>
      </c>
      <c r="V161">
        <v>9.9999999999999978E-2</v>
      </c>
    </row>
    <row r="162" spans="1:22" x14ac:dyDescent="0.2">
      <c r="A162" t="s">
        <v>214</v>
      </c>
      <c r="B162">
        <v>33</v>
      </c>
      <c r="C162" s="1">
        <v>44836</v>
      </c>
      <c r="D162" t="s">
        <v>16</v>
      </c>
      <c r="E162">
        <v>2022</v>
      </c>
      <c r="F162" t="s">
        <v>17</v>
      </c>
      <c r="G162" t="s">
        <v>42</v>
      </c>
      <c r="H162" t="s">
        <v>19</v>
      </c>
      <c r="I162" t="s">
        <v>20</v>
      </c>
      <c r="J162">
        <v>2</v>
      </c>
      <c r="K162">
        <v>1</v>
      </c>
      <c r="L162">
        <v>1</v>
      </c>
      <c r="M162">
        <v>1</v>
      </c>
      <c r="N162">
        <v>1.2</v>
      </c>
      <c r="O162">
        <v>-0.19999999999999996</v>
      </c>
      <c r="P162">
        <v>-1.2</v>
      </c>
      <c r="Q162">
        <v>77</v>
      </c>
      <c r="R162">
        <v>1</v>
      </c>
      <c r="S162" t="s">
        <v>296</v>
      </c>
      <c r="T162">
        <v>0</v>
      </c>
      <c r="U162">
        <v>1</v>
      </c>
      <c r="V162">
        <v>-0.19999999999999996</v>
      </c>
    </row>
    <row r="163" spans="1:22" x14ac:dyDescent="0.2">
      <c r="A163" t="s">
        <v>215</v>
      </c>
      <c r="B163">
        <v>34</v>
      </c>
      <c r="C163" s="1">
        <v>44843</v>
      </c>
      <c r="D163" t="s">
        <v>16</v>
      </c>
      <c r="E163">
        <v>2022</v>
      </c>
      <c r="F163" t="s">
        <v>17</v>
      </c>
      <c r="G163" t="s">
        <v>200</v>
      </c>
      <c r="H163" t="s">
        <v>33</v>
      </c>
      <c r="I163" t="s">
        <v>25</v>
      </c>
      <c r="J163">
        <v>0</v>
      </c>
      <c r="K163">
        <v>1</v>
      </c>
      <c r="L163">
        <v>-1</v>
      </c>
      <c r="M163">
        <v>4.5</v>
      </c>
      <c r="N163">
        <v>1.2</v>
      </c>
      <c r="O163">
        <v>3.3</v>
      </c>
      <c r="P163">
        <v>4.3</v>
      </c>
      <c r="Q163">
        <v>40</v>
      </c>
      <c r="R163">
        <v>1</v>
      </c>
      <c r="S163" t="s">
        <v>296</v>
      </c>
      <c r="T163">
        <v>0</v>
      </c>
      <c r="U163">
        <v>-4.5</v>
      </c>
      <c r="V163">
        <v>-0.19999999999999996</v>
      </c>
    </row>
    <row r="164" spans="1:22" x14ac:dyDescent="0.2">
      <c r="A164" t="s">
        <v>216</v>
      </c>
      <c r="B164">
        <v>35</v>
      </c>
      <c r="C164" s="1">
        <v>44854</v>
      </c>
      <c r="D164" t="s">
        <v>16</v>
      </c>
      <c r="E164">
        <v>2022</v>
      </c>
      <c r="F164" t="s">
        <v>116</v>
      </c>
      <c r="G164" t="s">
        <v>24</v>
      </c>
      <c r="H164" t="s">
        <v>33</v>
      </c>
      <c r="I164" t="s">
        <v>20</v>
      </c>
      <c r="J164">
        <v>3</v>
      </c>
      <c r="K164">
        <v>2</v>
      </c>
      <c r="L164">
        <v>1</v>
      </c>
      <c r="M164">
        <v>2.5</v>
      </c>
      <c r="N164">
        <v>0.4</v>
      </c>
      <c r="O164">
        <v>2.1</v>
      </c>
      <c r="P164">
        <v>1.1000000000000001</v>
      </c>
      <c r="Q164">
        <v>78</v>
      </c>
      <c r="R164">
        <v>1</v>
      </c>
      <c r="S164" t="s">
        <v>296</v>
      </c>
      <c r="T164">
        <v>0</v>
      </c>
      <c r="U164">
        <v>0.5</v>
      </c>
      <c r="V164">
        <v>1.6</v>
      </c>
    </row>
    <row r="165" spans="1:22" x14ac:dyDescent="0.2">
      <c r="A165" t="s">
        <v>217</v>
      </c>
      <c r="B165">
        <v>36</v>
      </c>
      <c r="C165" s="1">
        <v>44864</v>
      </c>
      <c r="D165" t="s">
        <v>16</v>
      </c>
      <c r="E165">
        <v>2022</v>
      </c>
      <c r="F165" t="s">
        <v>118</v>
      </c>
      <c r="G165" t="s">
        <v>146</v>
      </c>
      <c r="H165" t="s">
        <v>33</v>
      </c>
      <c r="I165" t="s">
        <v>20</v>
      </c>
      <c r="J165">
        <v>3</v>
      </c>
      <c r="K165">
        <v>0</v>
      </c>
      <c r="L165">
        <v>3</v>
      </c>
      <c r="M165">
        <v>2.1</v>
      </c>
      <c r="N165">
        <v>0.3</v>
      </c>
      <c r="O165">
        <v>1.8</v>
      </c>
      <c r="P165">
        <v>-1.2</v>
      </c>
      <c r="Q165">
        <v>77</v>
      </c>
      <c r="R165">
        <v>1</v>
      </c>
      <c r="S165" t="s">
        <v>296</v>
      </c>
      <c r="T165">
        <v>0</v>
      </c>
      <c r="U165">
        <v>0.89999999999999991</v>
      </c>
      <c r="V165">
        <v>-0.3</v>
      </c>
    </row>
    <row r="166" spans="1:22" x14ac:dyDescent="0.2">
      <c r="A166" t="s">
        <v>218</v>
      </c>
      <c r="B166">
        <v>37</v>
      </c>
      <c r="C166" s="1">
        <v>44870</v>
      </c>
      <c r="D166" t="s">
        <v>16</v>
      </c>
      <c r="E166">
        <v>2022</v>
      </c>
      <c r="F166" t="s">
        <v>219</v>
      </c>
      <c r="G166" t="s">
        <v>51</v>
      </c>
      <c r="H166" t="s">
        <v>33</v>
      </c>
      <c r="I166" t="s">
        <v>36</v>
      </c>
      <c r="J166">
        <v>3</v>
      </c>
      <c r="K166">
        <v>3</v>
      </c>
      <c r="L166">
        <v>0</v>
      </c>
      <c r="M166">
        <v>1</v>
      </c>
      <c r="N166">
        <v>1.6</v>
      </c>
      <c r="O166">
        <v>-0.60000000000000009</v>
      </c>
      <c r="P166">
        <v>-0.60000000000000009</v>
      </c>
      <c r="Q166">
        <v>97</v>
      </c>
      <c r="R166">
        <v>1</v>
      </c>
      <c r="S166" t="s">
        <v>296</v>
      </c>
      <c r="T166">
        <v>0</v>
      </c>
      <c r="U166">
        <v>2</v>
      </c>
      <c r="V166">
        <v>1.4</v>
      </c>
    </row>
    <row r="167" spans="1:22" x14ac:dyDescent="0.2">
      <c r="A167" t="s">
        <v>220</v>
      </c>
      <c r="B167">
        <v>1</v>
      </c>
      <c r="C167" s="1">
        <v>44989</v>
      </c>
      <c r="D167" t="s">
        <v>16</v>
      </c>
      <c r="E167">
        <v>2023</v>
      </c>
      <c r="F167" t="s">
        <v>17</v>
      </c>
      <c r="G167" t="s">
        <v>42</v>
      </c>
      <c r="H167" t="s">
        <v>33</v>
      </c>
      <c r="I167" t="s">
        <v>20</v>
      </c>
      <c r="J167">
        <v>3</v>
      </c>
      <c r="K167">
        <v>2</v>
      </c>
      <c r="L167">
        <v>1</v>
      </c>
      <c r="M167">
        <v>1.7</v>
      </c>
      <c r="N167">
        <v>1.1000000000000001</v>
      </c>
      <c r="O167">
        <v>0.59999999999999987</v>
      </c>
      <c r="P167">
        <v>-0.40000000000000013</v>
      </c>
      <c r="Q167">
        <v>66</v>
      </c>
      <c r="R167">
        <v>1</v>
      </c>
      <c r="S167" t="s">
        <v>297</v>
      </c>
      <c r="T167">
        <v>0</v>
      </c>
      <c r="U167">
        <v>1.3</v>
      </c>
      <c r="V167">
        <v>0.89999999999999991</v>
      </c>
    </row>
    <row r="168" spans="1:22" x14ac:dyDescent="0.2">
      <c r="A168" t="s">
        <v>221</v>
      </c>
      <c r="B168">
        <v>2</v>
      </c>
      <c r="C168" s="1">
        <v>44997</v>
      </c>
      <c r="D168" t="s">
        <v>16</v>
      </c>
      <c r="E168">
        <v>2023</v>
      </c>
      <c r="F168" t="s">
        <v>17</v>
      </c>
      <c r="G168" t="s">
        <v>70</v>
      </c>
      <c r="H168" t="s">
        <v>33</v>
      </c>
      <c r="I168" t="s">
        <v>20</v>
      </c>
      <c r="J168">
        <v>4</v>
      </c>
      <c r="K168">
        <v>0</v>
      </c>
      <c r="L168">
        <v>4</v>
      </c>
      <c r="M168">
        <v>2.9</v>
      </c>
      <c r="N168">
        <v>0.4</v>
      </c>
      <c r="O168">
        <v>2.5</v>
      </c>
      <c r="P168">
        <v>-1.5</v>
      </c>
      <c r="Q168">
        <v>25</v>
      </c>
      <c r="R168">
        <v>1</v>
      </c>
      <c r="S168" t="s">
        <v>297</v>
      </c>
      <c r="T168">
        <v>0</v>
      </c>
      <c r="U168">
        <v>1.1000000000000001</v>
      </c>
      <c r="V168">
        <v>-0.4</v>
      </c>
    </row>
    <row r="169" spans="1:22" x14ac:dyDescent="0.2">
      <c r="A169" t="s">
        <v>222</v>
      </c>
      <c r="B169">
        <v>3</v>
      </c>
      <c r="C169" s="1">
        <v>45003</v>
      </c>
      <c r="D169" t="s">
        <v>16</v>
      </c>
      <c r="E169">
        <v>2023</v>
      </c>
      <c r="F169" t="s">
        <v>17</v>
      </c>
      <c r="G169" t="s">
        <v>18</v>
      </c>
      <c r="H169" t="s">
        <v>19</v>
      </c>
      <c r="I169" t="s">
        <v>36</v>
      </c>
      <c r="J169">
        <v>0</v>
      </c>
      <c r="K169">
        <v>0</v>
      </c>
      <c r="L169">
        <v>0</v>
      </c>
      <c r="M169">
        <v>1.2</v>
      </c>
      <c r="N169">
        <v>1.3</v>
      </c>
      <c r="O169">
        <v>-0.10000000000000009</v>
      </c>
      <c r="P169">
        <v>-0.10000000000000009</v>
      </c>
      <c r="Q169">
        <v>66</v>
      </c>
      <c r="R169">
        <v>1</v>
      </c>
      <c r="S169" t="s">
        <v>297</v>
      </c>
      <c r="T169">
        <v>0</v>
      </c>
      <c r="U169">
        <v>-1.2</v>
      </c>
      <c r="V169">
        <v>-1.3</v>
      </c>
    </row>
    <row r="170" spans="1:22" x14ac:dyDescent="0.2">
      <c r="A170" t="s">
        <v>223</v>
      </c>
      <c r="B170">
        <v>4</v>
      </c>
      <c r="C170" s="1">
        <v>45010</v>
      </c>
      <c r="D170" t="s">
        <v>16</v>
      </c>
      <c r="E170">
        <v>2023</v>
      </c>
      <c r="F170" t="s">
        <v>17</v>
      </c>
      <c r="G170" t="s">
        <v>35</v>
      </c>
      <c r="H170" t="s">
        <v>33</v>
      </c>
      <c r="I170" t="s">
        <v>20</v>
      </c>
      <c r="J170">
        <v>2</v>
      </c>
      <c r="K170">
        <v>1</v>
      </c>
      <c r="L170">
        <v>1</v>
      </c>
      <c r="M170">
        <v>2.2999999999999998</v>
      </c>
      <c r="N170">
        <v>0.5</v>
      </c>
      <c r="O170">
        <v>1.7999999999999998</v>
      </c>
      <c r="P170">
        <v>0.79999999999999982</v>
      </c>
      <c r="Q170">
        <v>90</v>
      </c>
      <c r="R170">
        <v>1</v>
      </c>
      <c r="S170" t="s">
        <v>297</v>
      </c>
      <c r="T170">
        <v>0</v>
      </c>
      <c r="U170">
        <v>-0.29999999999999982</v>
      </c>
      <c r="V170">
        <v>0.5</v>
      </c>
    </row>
    <row r="171" spans="1:22" x14ac:dyDescent="0.2">
      <c r="A171" t="s">
        <v>224</v>
      </c>
      <c r="B171">
        <v>5</v>
      </c>
      <c r="C171" s="1">
        <v>45017</v>
      </c>
      <c r="D171" t="s">
        <v>16</v>
      </c>
      <c r="E171">
        <v>2023</v>
      </c>
      <c r="F171" t="s">
        <v>17</v>
      </c>
      <c r="G171" t="s">
        <v>65</v>
      </c>
      <c r="H171" t="s">
        <v>19</v>
      </c>
      <c r="I171" t="s">
        <v>36</v>
      </c>
      <c r="J171">
        <v>0</v>
      </c>
      <c r="K171">
        <v>0</v>
      </c>
      <c r="L171">
        <v>0</v>
      </c>
      <c r="M171">
        <v>0.6</v>
      </c>
      <c r="N171">
        <v>1</v>
      </c>
      <c r="O171">
        <v>-0.4</v>
      </c>
      <c r="P171">
        <v>-0.4</v>
      </c>
      <c r="Q171">
        <v>74</v>
      </c>
      <c r="R171">
        <v>1</v>
      </c>
      <c r="S171" t="s">
        <v>297</v>
      </c>
      <c r="T171">
        <v>0</v>
      </c>
      <c r="U171">
        <v>-0.6</v>
      </c>
      <c r="V171">
        <v>-1</v>
      </c>
    </row>
    <row r="172" spans="1:22" x14ac:dyDescent="0.2">
      <c r="A172" t="s">
        <v>225</v>
      </c>
      <c r="B172">
        <v>6</v>
      </c>
      <c r="C172" s="1">
        <v>45024</v>
      </c>
      <c r="D172" t="s">
        <v>16</v>
      </c>
      <c r="E172">
        <v>2023</v>
      </c>
      <c r="F172" t="s">
        <v>17</v>
      </c>
      <c r="G172" t="s">
        <v>146</v>
      </c>
      <c r="H172" t="s">
        <v>33</v>
      </c>
      <c r="I172" t="s">
        <v>20</v>
      </c>
      <c r="J172">
        <v>3</v>
      </c>
      <c r="K172">
        <v>0</v>
      </c>
      <c r="L172">
        <v>3</v>
      </c>
      <c r="M172">
        <v>1.4</v>
      </c>
      <c r="N172">
        <v>0.4</v>
      </c>
      <c r="O172">
        <v>0.99999999999999989</v>
      </c>
      <c r="P172">
        <v>-2</v>
      </c>
      <c r="Q172">
        <v>29</v>
      </c>
      <c r="R172">
        <v>1</v>
      </c>
      <c r="S172" t="s">
        <v>297</v>
      </c>
      <c r="T172">
        <v>0</v>
      </c>
      <c r="U172">
        <v>1.6</v>
      </c>
      <c r="V172">
        <v>-0.4</v>
      </c>
    </row>
    <row r="173" spans="1:22" x14ac:dyDescent="0.2">
      <c r="A173" t="s">
        <v>226</v>
      </c>
      <c r="B173">
        <v>7</v>
      </c>
      <c r="C173" s="1">
        <v>45032</v>
      </c>
      <c r="D173" t="s">
        <v>16</v>
      </c>
      <c r="E173">
        <v>2023</v>
      </c>
      <c r="F173" t="s">
        <v>17</v>
      </c>
      <c r="G173" t="s">
        <v>24</v>
      </c>
      <c r="H173" t="s">
        <v>19</v>
      </c>
      <c r="I173" t="s">
        <v>20</v>
      </c>
      <c r="J173">
        <v>3</v>
      </c>
      <c r="K173">
        <v>2</v>
      </c>
      <c r="L173">
        <v>1</v>
      </c>
      <c r="M173">
        <v>2.2000000000000002</v>
      </c>
      <c r="N173">
        <v>1.8</v>
      </c>
      <c r="O173">
        <v>0.40000000000000013</v>
      </c>
      <c r="P173">
        <v>-0.59999999999999987</v>
      </c>
      <c r="Q173">
        <v>71</v>
      </c>
      <c r="R173">
        <v>1</v>
      </c>
      <c r="S173" t="s">
        <v>297</v>
      </c>
      <c r="T173">
        <v>0</v>
      </c>
      <c r="U173">
        <v>0.79999999999999982</v>
      </c>
      <c r="V173">
        <v>0.19999999999999996</v>
      </c>
    </row>
    <row r="174" spans="1:22" x14ac:dyDescent="0.2">
      <c r="A174" t="s">
        <v>227</v>
      </c>
      <c r="B174">
        <v>8</v>
      </c>
      <c r="C174" s="1">
        <v>45038</v>
      </c>
      <c r="D174" t="s">
        <v>16</v>
      </c>
      <c r="E174">
        <v>2023</v>
      </c>
      <c r="F174" t="s">
        <v>17</v>
      </c>
      <c r="G174" t="s">
        <v>200</v>
      </c>
      <c r="H174" t="s">
        <v>19</v>
      </c>
      <c r="I174" t="s">
        <v>36</v>
      </c>
      <c r="J174">
        <v>1</v>
      </c>
      <c r="K174">
        <v>1</v>
      </c>
      <c r="L174">
        <v>0</v>
      </c>
      <c r="M174">
        <v>1.7</v>
      </c>
      <c r="N174">
        <v>1.1000000000000001</v>
      </c>
      <c r="O174">
        <v>0.59999999999999987</v>
      </c>
      <c r="P174">
        <v>0.59999999999999987</v>
      </c>
      <c r="Q174">
        <v>20</v>
      </c>
      <c r="R174">
        <v>1</v>
      </c>
      <c r="S174" t="s">
        <v>297</v>
      </c>
      <c r="T174">
        <v>0</v>
      </c>
      <c r="U174">
        <v>-0.7</v>
      </c>
      <c r="V174">
        <v>-0.10000000000000009</v>
      </c>
    </row>
    <row r="175" spans="1:22" x14ac:dyDescent="0.2">
      <c r="A175" t="s">
        <v>228</v>
      </c>
      <c r="B175">
        <v>9</v>
      </c>
      <c r="C175" s="1">
        <v>45052</v>
      </c>
      <c r="D175" t="s">
        <v>16</v>
      </c>
      <c r="E175">
        <v>2023</v>
      </c>
      <c r="F175" t="s">
        <v>17</v>
      </c>
      <c r="G175" t="s">
        <v>47</v>
      </c>
      <c r="H175" t="s">
        <v>19</v>
      </c>
      <c r="I175" t="s">
        <v>25</v>
      </c>
      <c r="J175">
        <v>1</v>
      </c>
      <c r="K175">
        <v>2</v>
      </c>
      <c r="L175">
        <v>-1</v>
      </c>
      <c r="M175">
        <v>1.2</v>
      </c>
      <c r="N175">
        <v>2.2999999999999998</v>
      </c>
      <c r="O175">
        <v>-1.0999999999999999</v>
      </c>
      <c r="P175">
        <v>-9.9999999999999867E-2</v>
      </c>
      <c r="Q175">
        <v>75</v>
      </c>
      <c r="R175">
        <v>1</v>
      </c>
      <c r="S175" t="s">
        <v>297</v>
      </c>
      <c r="T175">
        <v>0</v>
      </c>
      <c r="U175">
        <v>-0.19999999999999996</v>
      </c>
      <c r="V175">
        <v>-0.29999999999999982</v>
      </c>
    </row>
    <row r="176" spans="1:22" x14ac:dyDescent="0.2">
      <c r="A176" t="s">
        <v>229</v>
      </c>
      <c r="B176">
        <v>10</v>
      </c>
      <c r="C176" s="1">
        <v>45059</v>
      </c>
      <c r="D176" t="s">
        <v>16</v>
      </c>
      <c r="E176">
        <v>2023</v>
      </c>
      <c r="F176" t="s">
        <v>17</v>
      </c>
      <c r="G176" t="s">
        <v>22</v>
      </c>
      <c r="H176" t="s">
        <v>19</v>
      </c>
      <c r="I176" t="s">
        <v>20</v>
      </c>
      <c r="J176">
        <v>3</v>
      </c>
      <c r="K176">
        <v>0</v>
      </c>
      <c r="L176">
        <v>3</v>
      </c>
      <c r="M176">
        <v>2.4</v>
      </c>
      <c r="N176">
        <v>1.4</v>
      </c>
      <c r="O176">
        <v>1</v>
      </c>
      <c r="P176">
        <v>-2</v>
      </c>
      <c r="Q176">
        <v>80</v>
      </c>
      <c r="R176">
        <v>1</v>
      </c>
      <c r="S176" t="s">
        <v>297</v>
      </c>
      <c r="T176">
        <v>0</v>
      </c>
      <c r="U176">
        <v>0.60000000000000009</v>
      </c>
      <c r="V176">
        <v>-1.4</v>
      </c>
    </row>
    <row r="177" spans="1:22" x14ac:dyDescent="0.2">
      <c r="A177" t="s">
        <v>230</v>
      </c>
      <c r="B177">
        <v>11</v>
      </c>
      <c r="C177" s="1">
        <v>45063</v>
      </c>
      <c r="D177" t="s">
        <v>16</v>
      </c>
      <c r="E177">
        <v>2023</v>
      </c>
      <c r="F177" t="s">
        <v>17</v>
      </c>
      <c r="G177" t="s">
        <v>62</v>
      </c>
      <c r="H177" t="s">
        <v>33</v>
      </c>
      <c r="I177" t="s">
        <v>36</v>
      </c>
      <c r="J177">
        <v>1</v>
      </c>
      <c r="K177">
        <v>1</v>
      </c>
      <c r="L177">
        <v>0</v>
      </c>
      <c r="M177">
        <v>1.2</v>
      </c>
      <c r="N177">
        <v>0.4</v>
      </c>
      <c r="O177">
        <v>0.79999999999999993</v>
      </c>
      <c r="P177">
        <v>0.79999999999999993</v>
      </c>
      <c r="Q177">
        <v>67</v>
      </c>
      <c r="R177">
        <v>1</v>
      </c>
      <c r="S177" t="s">
        <v>297</v>
      </c>
      <c r="T177">
        <v>0</v>
      </c>
      <c r="U177">
        <v>-0.19999999999999996</v>
      </c>
      <c r="V177">
        <v>0.6</v>
      </c>
    </row>
    <row r="178" spans="1:22" x14ac:dyDescent="0.2">
      <c r="A178" t="s">
        <v>231</v>
      </c>
      <c r="B178">
        <v>12</v>
      </c>
      <c r="C178" s="1">
        <v>45066</v>
      </c>
      <c r="D178" t="s">
        <v>16</v>
      </c>
      <c r="E178">
        <v>2023</v>
      </c>
      <c r="F178" t="s">
        <v>17</v>
      </c>
      <c r="G178" t="s">
        <v>47</v>
      </c>
      <c r="H178" t="s">
        <v>33</v>
      </c>
      <c r="I178" t="s">
        <v>20</v>
      </c>
      <c r="J178">
        <v>2</v>
      </c>
      <c r="K178">
        <v>1</v>
      </c>
      <c r="L178">
        <v>1</v>
      </c>
      <c r="M178">
        <v>1.7</v>
      </c>
      <c r="N178">
        <v>0.7</v>
      </c>
      <c r="O178">
        <v>1</v>
      </c>
      <c r="P178">
        <v>0</v>
      </c>
      <c r="Q178">
        <v>27</v>
      </c>
      <c r="R178">
        <v>1</v>
      </c>
      <c r="S178" t="s">
        <v>297</v>
      </c>
      <c r="T178">
        <v>0</v>
      </c>
      <c r="U178">
        <v>0.30000000000000004</v>
      </c>
      <c r="V178">
        <v>0.30000000000000004</v>
      </c>
    </row>
    <row r="179" spans="1:22" x14ac:dyDescent="0.2">
      <c r="A179" t="s">
        <v>232</v>
      </c>
      <c r="B179">
        <v>13</v>
      </c>
      <c r="C179" s="1">
        <v>45084</v>
      </c>
      <c r="D179" t="s">
        <v>16</v>
      </c>
      <c r="E179">
        <v>2023</v>
      </c>
      <c r="F179" t="s">
        <v>17</v>
      </c>
      <c r="G179" t="s">
        <v>27</v>
      </c>
      <c r="H179" t="s">
        <v>33</v>
      </c>
      <c r="I179" t="s">
        <v>36</v>
      </c>
      <c r="J179">
        <v>0</v>
      </c>
      <c r="K179">
        <v>0</v>
      </c>
      <c r="L179">
        <v>0</v>
      </c>
      <c r="M179">
        <v>2.2999999999999998</v>
      </c>
      <c r="N179">
        <v>0.8</v>
      </c>
      <c r="O179">
        <v>1.4999999999999998</v>
      </c>
      <c r="P179">
        <v>1.4999999999999998</v>
      </c>
      <c r="Q179">
        <v>31</v>
      </c>
      <c r="R179">
        <v>1</v>
      </c>
      <c r="S179" t="s">
        <v>297</v>
      </c>
      <c r="T179">
        <v>0</v>
      </c>
      <c r="U179">
        <v>-2.2999999999999998</v>
      </c>
      <c r="V179">
        <v>-0.8</v>
      </c>
    </row>
    <row r="180" spans="1:22" x14ac:dyDescent="0.2">
      <c r="A180" t="s">
        <v>233</v>
      </c>
      <c r="B180">
        <v>14</v>
      </c>
      <c r="C180" s="1">
        <v>45087</v>
      </c>
      <c r="D180" t="s">
        <v>16</v>
      </c>
      <c r="E180">
        <v>2023</v>
      </c>
      <c r="F180" t="s">
        <v>17</v>
      </c>
      <c r="G180" t="s">
        <v>53</v>
      </c>
      <c r="H180" t="s">
        <v>19</v>
      </c>
      <c r="I180" t="s">
        <v>25</v>
      </c>
      <c r="J180">
        <v>0</v>
      </c>
      <c r="K180">
        <v>4</v>
      </c>
      <c r="L180">
        <v>-4</v>
      </c>
      <c r="M180">
        <v>0.7</v>
      </c>
      <c r="N180">
        <v>2.1</v>
      </c>
      <c r="O180">
        <v>-1.4000000000000001</v>
      </c>
      <c r="P180">
        <v>2.5999999999999996</v>
      </c>
      <c r="Q180">
        <v>71</v>
      </c>
      <c r="R180">
        <v>1</v>
      </c>
      <c r="S180" t="s">
        <v>297</v>
      </c>
      <c r="T180">
        <v>0</v>
      </c>
      <c r="U180">
        <v>-0.7</v>
      </c>
      <c r="V180">
        <v>1.9</v>
      </c>
    </row>
    <row r="181" spans="1:22" x14ac:dyDescent="0.2">
      <c r="A181" t="s">
        <v>234</v>
      </c>
      <c r="B181">
        <v>15</v>
      </c>
      <c r="C181" s="1">
        <v>45091</v>
      </c>
      <c r="D181" t="s">
        <v>16</v>
      </c>
      <c r="E181">
        <v>2023</v>
      </c>
      <c r="F181" t="s">
        <v>17</v>
      </c>
      <c r="G181" t="s">
        <v>53</v>
      </c>
      <c r="H181" t="s">
        <v>33</v>
      </c>
      <c r="I181" t="s">
        <v>25</v>
      </c>
      <c r="J181">
        <v>0</v>
      </c>
      <c r="K181">
        <v>1</v>
      </c>
      <c r="L181">
        <v>-1</v>
      </c>
      <c r="M181">
        <v>0.7</v>
      </c>
      <c r="N181">
        <v>0.6</v>
      </c>
      <c r="O181">
        <v>9.9999999999999978E-2</v>
      </c>
      <c r="P181">
        <v>1.1000000000000001</v>
      </c>
      <c r="Q181">
        <v>90</v>
      </c>
      <c r="R181">
        <v>1</v>
      </c>
      <c r="S181" t="s">
        <v>297</v>
      </c>
      <c r="T181">
        <v>0</v>
      </c>
      <c r="U181">
        <v>-0.7</v>
      </c>
      <c r="V181">
        <v>0.4</v>
      </c>
    </row>
    <row r="182" spans="1:22" x14ac:dyDescent="0.2">
      <c r="A182" t="s">
        <v>235</v>
      </c>
      <c r="B182">
        <v>16</v>
      </c>
      <c r="C182" s="1">
        <v>45094</v>
      </c>
      <c r="D182" t="s">
        <v>16</v>
      </c>
      <c r="E182">
        <v>2023</v>
      </c>
      <c r="F182" t="s">
        <v>17</v>
      </c>
      <c r="G182" t="s">
        <v>62</v>
      </c>
      <c r="H182" t="s">
        <v>19</v>
      </c>
      <c r="I182" t="s">
        <v>20</v>
      </c>
      <c r="J182">
        <v>2</v>
      </c>
      <c r="K182">
        <v>1</v>
      </c>
      <c r="L182">
        <v>1</v>
      </c>
      <c r="M182">
        <v>1.1000000000000001</v>
      </c>
      <c r="N182">
        <v>2</v>
      </c>
      <c r="O182">
        <v>-0.89999999999999991</v>
      </c>
      <c r="P182">
        <v>-1.9</v>
      </c>
      <c r="Q182">
        <v>45</v>
      </c>
      <c r="R182">
        <v>1</v>
      </c>
      <c r="S182" t="s">
        <v>297</v>
      </c>
      <c r="T182">
        <v>0</v>
      </c>
      <c r="U182">
        <v>0.89999999999999991</v>
      </c>
      <c r="V182">
        <v>-1</v>
      </c>
    </row>
    <row r="183" spans="1:22" x14ac:dyDescent="0.2">
      <c r="A183" t="s">
        <v>236</v>
      </c>
      <c r="B183">
        <v>17</v>
      </c>
      <c r="C183" s="1">
        <v>45098</v>
      </c>
      <c r="D183" t="s">
        <v>16</v>
      </c>
      <c r="E183">
        <v>2023</v>
      </c>
      <c r="F183" t="s">
        <v>17</v>
      </c>
      <c r="G183" t="s">
        <v>18</v>
      </c>
      <c r="H183" t="s">
        <v>33</v>
      </c>
      <c r="I183" t="s">
        <v>20</v>
      </c>
      <c r="J183">
        <v>1</v>
      </c>
      <c r="K183">
        <v>0</v>
      </c>
      <c r="L183">
        <v>1</v>
      </c>
      <c r="M183">
        <v>1.1000000000000001</v>
      </c>
      <c r="N183">
        <v>0.5</v>
      </c>
      <c r="O183">
        <v>0.60000000000000009</v>
      </c>
      <c r="P183">
        <v>-0.39999999999999991</v>
      </c>
      <c r="Q183">
        <v>71</v>
      </c>
      <c r="R183">
        <v>1</v>
      </c>
      <c r="S183" t="s">
        <v>297</v>
      </c>
      <c r="T183">
        <v>0</v>
      </c>
      <c r="U183">
        <v>-0.10000000000000009</v>
      </c>
      <c r="V183">
        <v>-0.5</v>
      </c>
    </row>
    <row r="184" spans="1:22" x14ac:dyDescent="0.2">
      <c r="A184" t="s">
        <v>237</v>
      </c>
      <c r="B184">
        <v>18</v>
      </c>
      <c r="C184" s="1">
        <v>45101</v>
      </c>
      <c r="D184" t="s">
        <v>16</v>
      </c>
      <c r="E184">
        <v>2023</v>
      </c>
      <c r="F184" t="s">
        <v>17</v>
      </c>
      <c r="G184" t="s">
        <v>29</v>
      </c>
      <c r="H184" t="s">
        <v>33</v>
      </c>
      <c r="I184" t="s">
        <v>25</v>
      </c>
      <c r="J184">
        <v>2</v>
      </c>
      <c r="K184">
        <v>3</v>
      </c>
      <c r="L184">
        <v>-1</v>
      </c>
      <c r="M184">
        <v>2.2000000000000002</v>
      </c>
      <c r="N184">
        <v>1.5</v>
      </c>
      <c r="O184">
        <v>0.70000000000000018</v>
      </c>
      <c r="P184">
        <v>1.7000000000000002</v>
      </c>
      <c r="Q184">
        <v>90</v>
      </c>
      <c r="R184">
        <v>1</v>
      </c>
      <c r="S184" t="s">
        <v>297</v>
      </c>
      <c r="T184">
        <v>0</v>
      </c>
      <c r="U184">
        <v>-0.20000000000000018</v>
      </c>
      <c r="V184">
        <v>1.5</v>
      </c>
    </row>
    <row r="185" spans="1:22" x14ac:dyDescent="0.2">
      <c r="A185" t="s">
        <v>238</v>
      </c>
      <c r="B185">
        <v>19</v>
      </c>
      <c r="C185" s="1">
        <v>45108</v>
      </c>
      <c r="D185" t="s">
        <v>16</v>
      </c>
      <c r="E185">
        <v>2023</v>
      </c>
      <c r="F185" t="s">
        <v>17</v>
      </c>
      <c r="G185" t="s">
        <v>35</v>
      </c>
      <c r="H185" t="s">
        <v>19</v>
      </c>
      <c r="I185" t="s">
        <v>25</v>
      </c>
      <c r="J185">
        <v>0</v>
      </c>
      <c r="K185">
        <v>2</v>
      </c>
      <c r="L185">
        <v>-2</v>
      </c>
      <c r="M185">
        <v>1.1000000000000001</v>
      </c>
      <c r="N185">
        <v>1</v>
      </c>
      <c r="O185">
        <v>0.10000000000000009</v>
      </c>
      <c r="P185">
        <v>2.1</v>
      </c>
      <c r="Q185">
        <v>25</v>
      </c>
      <c r="R185">
        <v>1</v>
      </c>
      <c r="S185" t="s">
        <v>297</v>
      </c>
      <c r="T185">
        <v>0</v>
      </c>
      <c r="U185">
        <v>-1.1000000000000001</v>
      </c>
      <c r="V185">
        <v>1</v>
      </c>
    </row>
    <row r="186" spans="1:22" x14ac:dyDescent="0.2">
      <c r="A186" t="s">
        <v>239</v>
      </c>
      <c r="B186">
        <v>20</v>
      </c>
      <c r="C186" s="1">
        <v>45111</v>
      </c>
      <c r="D186" t="s">
        <v>16</v>
      </c>
      <c r="E186">
        <v>2023</v>
      </c>
      <c r="F186" t="s">
        <v>17</v>
      </c>
      <c r="G186" t="s">
        <v>24</v>
      </c>
      <c r="H186" t="s">
        <v>19</v>
      </c>
      <c r="I186" t="s">
        <v>25</v>
      </c>
      <c r="J186">
        <v>1</v>
      </c>
      <c r="K186">
        <v>2</v>
      </c>
      <c r="L186">
        <v>-1</v>
      </c>
      <c r="M186">
        <v>1.6</v>
      </c>
      <c r="N186">
        <v>1.4</v>
      </c>
      <c r="O186">
        <v>0.20000000000000018</v>
      </c>
      <c r="P186">
        <v>1.2000000000000002</v>
      </c>
      <c r="Q186">
        <v>90</v>
      </c>
      <c r="R186">
        <v>1</v>
      </c>
      <c r="S186" t="s">
        <v>297</v>
      </c>
      <c r="T186">
        <v>0</v>
      </c>
      <c r="U186">
        <v>-0.60000000000000009</v>
      </c>
      <c r="V186">
        <v>0.60000000000000009</v>
      </c>
    </row>
    <row r="187" spans="1:22" x14ac:dyDescent="0.2">
      <c r="A187" t="s">
        <v>240</v>
      </c>
      <c r="B187">
        <v>21</v>
      </c>
      <c r="C187" s="1">
        <v>45115</v>
      </c>
      <c r="D187" t="s">
        <v>16</v>
      </c>
      <c r="E187">
        <v>2023</v>
      </c>
      <c r="F187" t="s">
        <v>17</v>
      </c>
      <c r="G187" t="s">
        <v>47</v>
      </c>
      <c r="H187" t="s">
        <v>33</v>
      </c>
      <c r="I187" t="s">
        <v>36</v>
      </c>
      <c r="J187">
        <v>1</v>
      </c>
      <c r="K187">
        <v>1</v>
      </c>
      <c r="L187">
        <v>0</v>
      </c>
      <c r="M187">
        <v>1.7</v>
      </c>
      <c r="N187">
        <v>0.6</v>
      </c>
      <c r="O187">
        <v>1.1000000000000001</v>
      </c>
      <c r="P187">
        <v>1.1000000000000001</v>
      </c>
      <c r="Q187">
        <v>18</v>
      </c>
      <c r="R187">
        <v>1</v>
      </c>
      <c r="S187" t="s">
        <v>297</v>
      </c>
      <c r="T187">
        <v>0</v>
      </c>
      <c r="U187">
        <v>-0.7</v>
      </c>
      <c r="V187">
        <v>0.4</v>
      </c>
    </row>
    <row r="188" spans="1:22" x14ac:dyDescent="0.2">
      <c r="A188" t="s">
        <v>241</v>
      </c>
      <c r="B188">
        <v>22</v>
      </c>
      <c r="C188" s="1">
        <v>45119</v>
      </c>
      <c r="D188" t="s">
        <v>16</v>
      </c>
      <c r="E188">
        <v>2023</v>
      </c>
      <c r="F188" t="s">
        <v>17</v>
      </c>
      <c r="G188" t="s">
        <v>242</v>
      </c>
      <c r="H188" t="s">
        <v>33</v>
      </c>
      <c r="I188" t="s">
        <v>20</v>
      </c>
      <c r="J188">
        <v>3</v>
      </c>
      <c r="K188">
        <v>0</v>
      </c>
      <c r="L188">
        <v>3</v>
      </c>
      <c r="M188">
        <v>1.6</v>
      </c>
      <c r="N188">
        <v>0.3</v>
      </c>
      <c r="O188">
        <v>1.3</v>
      </c>
      <c r="P188">
        <v>-1.7</v>
      </c>
      <c r="Q188">
        <v>86</v>
      </c>
      <c r="R188">
        <v>1</v>
      </c>
      <c r="S188" t="s">
        <v>297</v>
      </c>
      <c r="T188">
        <v>0</v>
      </c>
      <c r="U188">
        <v>1.4</v>
      </c>
      <c r="V188">
        <v>-0.3</v>
      </c>
    </row>
    <row r="189" spans="1:22" x14ac:dyDescent="0.2">
      <c r="A189" t="s">
        <v>243</v>
      </c>
      <c r="B189">
        <v>23</v>
      </c>
      <c r="C189" s="1">
        <v>45122</v>
      </c>
      <c r="D189" t="s">
        <v>16</v>
      </c>
      <c r="E189">
        <v>2023</v>
      </c>
      <c r="F189" t="s">
        <v>17</v>
      </c>
      <c r="G189" t="s">
        <v>38</v>
      </c>
      <c r="H189" t="s">
        <v>19</v>
      </c>
      <c r="I189" t="s">
        <v>36</v>
      </c>
      <c r="J189">
        <v>1</v>
      </c>
      <c r="K189">
        <v>1</v>
      </c>
      <c r="L189">
        <v>0</v>
      </c>
      <c r="M189">
        <v>0.9</v>
      </c>
      <c r="N189">
        <v>2</v>
      </c>
      <c r="O189">
        <v>-1.1000000000000001</v>
      </c>
      <c r="P189">
        <v>-1.1000000000000001</v>
      </c>
      <c r="Q189">
        <v>60</v>
      </c>
      <c r="R189">
        <v>1</v>
      </c>
      <c r="S189" t="s">
        <v>297</v>
      </c>
      <c r="T189">
        <v>0</v>
      </c>
      <c r="U189">
        <v>9.9999999999999978E-2</v>
      </c>
      <c r="V189">
        <v>-1</v>
      </c>
    </row>
    <row r="190" spans="1:22" x14ac:dyDescent="0.2">
      <c r="A190" t="s">
        <v>244</v>
      </c>
      <c r="B190">
        <v>24</v>
      </c>
      <c r="C190" s="1">
        <v>45161</v>
      </c>
      <c r="D190" t="s">
        <v>16</v>
      </c>
      <c r="E190">
        <v>2023</v>
      </c>
      <c r="F190" t="s">
        <v>17</v>
      </c>
      <c r="G190" t="s">
        <v>65</v>
      </c>
      <c r="H190" t="s">
        <v>33</v>
      </c>
      <c r="I190" t="s">
        <v>20</v>
      </c>
      <c r="J190">
        <v>4</v>
      </c>
      <c r="K190">
        <v>0</v>
      </c>
      <c r="L190">
        <v>4</v>
      </c>
      <c r="M190">
        <v>2.8</v>
      </c>
      <c r="N190">
        <v>0.6</v>
      </c>
      <c r="O190">
        <v>2.1999999999999997</v>
      </c>
      <c r="P190">
        <v>-1.8000000000000003</v>
      </c>
      <c r="Q190">
        <v>64</v>
      </c>
      <c r="R190">
        <v>1</v>
      </c>
      <c r="S190" t="s">
        <v>297</v>
      </c>
      <c r="T190">
        <v>0</v>
      </c>
      <c r="U190">
        <v>1.2000000000000002</v>
      </c>
      <c r="V190">
        <v>-0.6</v>
      </c>
    </row>
    <row r="191" spans="1:22" x14ac:dyDescent="0.2">
      <c r="A191" t="s">
        <v>245</v>
      </c>
      <c r="B191">
        <v>25</v>
      </c>
      <c r="C191" s="1">
        <v>45164</v>
      </c>
      <c r="D191" t="s">
        <v>16</v>
      </c>
      <c r="E191">
        <v>2023</v>
      </c>
      <c r="F191" t="s">
        <v>17</v>
      </c>
      <c r="G191" t="s">
        <v>205</v>
      </c>
      <c r="H191" t="s">
        <v>19</v>
      </c>
      <c r="I191" t="s">
        <v>25</v>
      </c>
      <c r="J191">
        <v>1</v>
      </c>
      <c r="K191">
        <v>2</v>
      </c>
      <c r="L191">
        <v>-1</v>
      </c>
      <c r="M191">
        <v>2.2999999999999998</v>
      </c>
      <c r="N191">
        <v>1.8</v>
      </c>
      <c r="O191">
        <v>0.49999999999999978</v>
      </c>
      <c r="P191">
        <v>1.4999999999999998</v>
      </c>
      <c r="Q191">
        <v>63</v>
      </c>
      <c r="R191">
        <v>1</v>
      </c>
      <c r="S191" t="s">
        <v>297</v>
      </c>
      <c r="T191">
        <v>0</v>
      </c>
      <c r="U191">
        <v>-1.2999999999999998</v>
      </c>
      <c r="V191">
        <v>0.19999999999999996</v>
      </c>
    </row>
    <row r="192" spans="1:22" x14ac:dyDescent="0.2">
      <c r="A192" t="s">
        <v>246</v>
      </c>
      <c r="B192">
        <v>26</v>
      </c>
      <c r="C192" s="1">
        <v>45172</v>
      </c>
      <c r="D192" t="s">
        <v>16</v>
      </c>
      <c r="E192">
        <v>2023</v>
      </c>
      <c r="F192" t="s">
        <v>17</v>
      </c>
      <c r="G192" t="s">
        <v>120</v>
      </c>
      <c r="H192" t="s">
        <v>33</v>
      </c>
      <c r="I192" t="s">
        <v>25</v>
      </c>
      <c r="J192">
        <v>1</v>
      </c>
      <c r="K192">
        <v>3</v>
      </c>
      <c r="L192">
        <v>-2</v>
      </c>
      <c r="M192">
        <v>2.2999999999999998</v>
      </c>
      <c r="N192">
        <v>2.1</v>
      </c>
      <c r="O192">
        <v>0.19999999999999973</v>
      </c>
      <c r="P192">
        <v>2.1999999999999997</v>
      </c>
      <c r="Q192">
        <v>90</v>
      </c>
      <c r="R192">
        <v>1</v>
      </c>
      <c r="S192" t="s">
        <v>297</v>
      </c>
      <c r="T192">
        <v>0</v>
      </c>
      <c r="U192">
        <v>-1.2999999999999998</v>
      </c>
      <c r="V192">
        <v>0.89999999999999991</v>
      </c>
    </row>
    <row r="193" spans="1:22" x14ac:dyDescent="0.2">
      <c r="A193" t="s">
        <v>247</v>
      </c>
      <c r="B193">
        <v>27</v>
      </c>
      <c r="C193" s="1">
        <v>45178</v>
      </c>
      <c r="D193" t="s">
        <v>16</v>
      </c>
      <c r="E193">
        <v>2023</v>
      </c>
      <c r="F193" t="s">
        <v>17</v>
      </c>
      <c r="G193" t="s">
        <v>42</v>
      </c>
      <c r="H193" t="s">
        <v>19</v>
      </c>
      <c r="I193" t="s">
        <v>25</v>
      </c>
      <c r="J193">
        <v>0</v>
      </c>
      <c r="K193">
        <v>2</v>
      </c>
      <c r="L193">
        <v>-2</v>
      </c>
      <c r="M193">
        <v>1.1000000000000001</v>
      </c>
      <c r="N193">
        <v>2.2000000000000002</v>
      </c>
      <c r="O193">
        <v>-1.1000000000000001</v>
      </c>
      <c r="P193">
        <v>0.89999999999999991</v>
      </c>
      <c r="Q193">
        <v>90</v>
      </c>
      <c r="R193">
        <v>1</v>
      </c>
      <c r="S193" t="s">
        <v>297</v>
      </c>
      <c r="T193">
        <v>0</v>
      </c>
      <c r="U193">
        <v>-1.1000000000000001</v>
      </c>
      <c r="V193">
        <v>-0.20000000000000018</v>
      </c>
    </row>
    <row r="194" spans="1:22" x14ac:dyDescent="0.2">
      <c r="A194" t="s">
        <v>248</v>
      </c>
      <c r="B194">
        <v>28</v>
      </c>
      <c r="C194" s="1">
        <v>45185</v>
      </c>
      <c r="D194" t="s">
        <v>16</v>
      </c>
      <c r="E194">
        <v>2023</v>
      </c>
      <c r="F194" t="s">
        <v>17</v>
      </c>
      <c r="G194" t="s">
        <v>24</v>
      </c>
      <c r="H194" t="s">
        <v>33</v>
      </c>
      <c r="I194" t="s">
        <v>20</v>
      </c>
      <c r="J194">
        <v>4</v>
      </c>
      <c r="K194">
        <v>2</v>
      </c>
      <c r="L194">
        <v>2</v>
      </c>
      <c r="M194">
        <v>1.5</v>
      </c>
      <c r="N194">
        <v>0.8</v>
      </c>
      <c r="O194">
        <v>0.7</v>
      </c>
      <c r="P194">
        <v>-1.3</v>
      </c>
      <c r="Q194">
        <v>77</v>
      </c>
      <c r="R194">
        <v>1</v>
      </c>
      <c r="S194" t="s">
        <v>297</v>
      </c>
      <c r="T194">
        <v>0</v>
      </c>
      <c r="U194">
        <v>2.5</v>
      </c>
      <c r="V194">
        <v>1.2</v>
      </c>
    </row>
    <row r="195" spans="1:22" x14ac:dyDescent="0.2">
      <c r="A195" t="s">
        <v>249</v>
      </c>
      <c r="B195">
        <v>29</v>
      </c>
      <c r="C195" s="1">
        <v>45189</v>
      </c>
      <c r="D195" t="s">
        <v>16</v>
      </c>
      <c r="E195">
        <v>2023</v>
      </c>
      <c r="F195" t="s">
        <v>17</v>
      </c>
      <c r="G195" t="s">
        <v>242</v>
      </c>
      <c r="H195" t="s">
        <v>19</v>
      </c>
      <c r="I195" t="s">
        <v>36</v>
      </c>
      <c r="J195">
        <v>0</v>
      </c>
      <c r="K195">
        <v>0</v>
      </c>
      <c r="L195">
        <v>0</v>
      </c>
      <c r="M195">
        <v>0.7</v>
      </c>
      <c r="N195">
        <v>0.6</v>
      </c>
      <c r="O195">
        <v>9.9999999999999978E-2</v>
      </c>
      <c r="P195">
        <v>9.9999999999999978E-2</v>
      </c>
      <c r="Q195">
        <v>30</v>
      </c>
      <c r="R195">
        <v>1</v>
      </c>
      <c r="S195" t="s">
        <v>297</v>
      </c>
      <c r="T195">
        <v>0</v>
      </c>
      <c r="U195">
        <v>-0.7</v>
      </c>
      <c r="V195">
        <v>-0.6</v>
      </c>
    </row>
    <row r="196" spans="1:22" x14ac:dyDescent="0.2">
      <c r="A196" t="s">
        <v>250</v>
      </c>
      <c r="B196">
        <v>30</v>
      </c>
      <c r="C196" s="1">
        <v>45192</v>
      </c>
      <c r="D196" t="s">
        <v>16</v>
      </c>
      <c r="E196">
        <v>2023</v>
      </c>
      <c r="F196" t="s">
        <v>17</v>
      </c>
      <c r="G196" t="s">
        <v>51</v>
      </c>
      <c r="H196" t="s">
        <v>19</v>
      </c>
      <c r="I196" t="s">
        <v>36</v>
      </c>
      <c r="J196">
        <v>0</v>
      </c>
      <c r="K196">
        <v>0</v>
      </c>
      <c r="L196">
        <v>0</v>
      </c>
      <c r="M196">
        <v>0</v>
      </c>
      <c r="N196">
        <v>0.3</v>
      </c>
      <c r="O196">
        <v>-0.3</v>
      </c>
      <c r="P196">
        <v>-0.3</v>
      </c>
      <c r="Q196">
        <v>19</v>
      </c>
      <c r="R196">
        <v>1</v>
      </c>
      <c r="S196" t="s">
        <v>297</v>
      </c>
      <c r="T196">
        <v>0</v>
      </c>
      <c r="U196">
        <v>0</v>
      </c>
      <c r="V196">
        <v>-0.3</v>
      </c>
    </row>
    <row r="197" spans="1:22" x14ac:dyDescent="0.2">
      <c r="A197" t="s">
        <v>251</v>
      </c>
      <c r="B197">
        <v>31</v>
      </c>
      <c r="C197" s="1">
        <v>45200</v>
      </c>
      <c r="D197" t="s">
        <v>16</v>
      </c>
      <c r="E197">
        <v>2023</v>
      </c>
      <c r="F197" t="s">
        <v>17</v>
      </c>
      <c r="G197" t="s">
        <v>22</v>
      </c>
      <c r="H197" t="s">
        <v>33</v>
      </c>
      <c r="I197" t="s">
        <v>25</v>
      </c>
      <c r="J197">
        <v>0</v>
      </c>
      <c r="K197">
        <v>1</v>
      </c>
      <c r="L197">
        <v>-1</v>
      </c>
      <c r="M197">
        <v>1.2</v>
      </c>
      <c r="N197">
        <v>0.5</v>
      </c>
      <c r="O197">
        <v>0.7</v>
      </c>
      <c r="P197">
        <v>1.7</v>
      </c>
      <c r="Q197">
        <v>90</v>
      </c>
      <c r="R197">
        <v>1</v>
      </c>
      <c r="S197" t="s">
        <v>297</v>
      </c>
      <c r="T197">
        <v>0</v>
      </c>
      <c r="U197">
        <v>-1.2</v>
      </c>
      <c r="V197">
        <v>0.5</v>
      </c>
    </row>
    <row r="198" spans="1:22" x14ac:dyDescent="0.2">
      <c r="A198" t="s">
        <v>252</v>
      </c>
      <c r="B198">
        <v>32</v>
      </c>
      <c r="C198" s="1">
        <v>45203</v>
      </c>
      <c r="D198" t="s">
        <v>16</v>
      </c>
      <c r="E198">
        <v>2023</v>
      </c>
      <c r="F198" t="s">
        <v>17</v>
      </c>
      <c r="G198" t="s">
        <v>38</v>
      </c>
      <c r="H198" t="s">
        <v>33</v>
      </c>
      <c r="I198" t="s">
        <v>20</v>
      </c>
      <c r="J198">
        <v>5</v>
      </c>
      <c r="K198">
        <v>1</v>
      </c>
      <c r="L198">
        <v>4</v>
      </c>
      <c r="M198">
        <v>3.7</v>
      </c>
      <c r="N198">
        <v>1.6</v>
      </c>
      <c r="O198">
        <v>2.1</v>
      </c>
      <c r="P198">
        <v>-1.9</v>
      </c>
      <c r="Q198">
        <v>68</v>
      </c>
      <c r="R198">
        <v>1</v>
      </c>
      <c r="S198" t="s">
        <v>297</v>
      </c>
      <c r="T198">
        <v>0</v>
      </c>
      <c r="U198">
        <v>1.2999999999999998</v>
      </c>
      <c r="V198">
        <v>-0.60000000000000009</v>
      </c>
    </row>
    <row r="199" spans="1:22" x14ac:dyDescent="0.2">
      <c r="A199" t="s">
        <v>253</v>
      </c>
      <c r="B199">
        <v>33</v>
      </c>
      <c r="C199" s="1">
        <v>45206</v>
      </c>
      <c r="D199" t="s">
        <v>16</v>
      </c>
      <c r="E199">
        <v>2023</v>
      </c>
      <c r="F199" t="s">
        <v>17</v>
      </c>
      <c r="G199" t="s">
        <v>146</v>
      </c>
      <c r="H199" t="s">
        <v>19</v>
      </c>
      <c r="I199" t="s">
        <v>20</v>
      </c>
      <c r="J199">
        <v>4</v>
      </c>
      <c r="K199">
        <v>2</v>
      </c>
      <c r="L199">
        <v>2</v>
      </c>
      <c r="M199">
        <v>3</v>
      </c>
      <c r="N199">
        <v>0.4</v>
      </c>
      <c r="O199">
        <v>2.6</v>
      </c>
      <c r="P199">
        <v>0.60000000000000009</v>
      </c>
      <c r="Q199">
        <v>29</v>
      </c>
      <c r="R199">
        <v>1</v>
      </c>
      <c r="S199" t="s">
        <v>297</v>
      </c>
      <c r="T199">
        <v>0</v>
      </c>
      <c r="U199">
        <v>1</v>
      </c>
      <c r="V199">
        <v>1.6</v>
      </c>
    </row>
    <row r="200" spans="1:22" x14ac:dyDescent="0.2">
      <c r="A200" t="s">
        <v>254</v>
      </c>
      <c r="B200">
        <v>34</v>
      </c>
      <c r="C200" s="1">
        <v>45220</v>
      </c>
      <c r="D200" t="s">
        <v>16</v>
      </c>
      <c r="E200">
        <v>2023</v>
      </c>
      <c r="F200" t="s">
        <v>17</v>
      </c>
      <c r="G200" t="s">
        <v>29</v>
      </c>
      <c r="H200" t="s">
        <v>19</v>
      </c>
      <c r="I200" t="s">
        <v>36</v>
      </c>
      <c r="J200">
        <v>1</v>
      </c>
      <c r="K200">
        <v>1</v>
      </c>
      <c r="L200">
        <v>0</v>
      </c>
      <c r="M200">
        <v>1.6</v>
      </c>
      <c r="N200">
        <v>2</v>
      </c>
      <c r="O200">
        <v>-0.39999999999999991</v>
      </c>
      <c r="P200">
        <v>-0.39999999999999991</v>
      </c>
      <c r="Q200">
        <v>85</v>
      </c>
      <c r="R200">
        <v>1</v>
      </c>
      <c r="S200" t="s">
        <v>297</v>
      </c>
      <c r="T200">
        <v>0</v>
      </c>
      <c r="U200">
        <v>-0.60000000000000009</v>
      </c>
      <c r="V200">
        <v>-1</v>
      </c>
    </row>
    <row r="201" spans="1:22" x14ac:dyDescent="0.2">
      <c r="A201" t="s">
        <v>255</v>
      </c>
      <c r="B201">
        <v>35</v>
      </c>
      <c r="C201" s="1">
        <v>45227</v>
      </c>
      <c r="D201" t="s">
        <v>16</v>
      </c>
      <c r="E201">
        <v>2023</v>
      </c>
      <c r="F201" t="s">
        <v>256</v>
      </c>
      <c r="G201" t="s">
        <v>29</v>
      </c>
      <c r="H201" t="s">
        <v>33</v>
      </c>
      <c r="I201" t="s">
        <v>20</v>
      </c>
      <c r="J201">
        <v>5</v>
      </c>
      <c r="K201">
        <v>2</v>
      </c>
      <c r="L201">
        <v>3</v>
      </c>
      <c r="M201">
        <v>1.3</v>
      </c>
      <c r="N201">
        <v>0.5</v>
      </c>
      <c r="O201">
        <v>0.8</v>
      </c>
      <c r="P201">
        <v>-2.2000000000000002</v>
      </c>
      <c r="Q201">
        <v>71</v>
      </c>
      <c r="R201">
        <v>1</v>
      </c>
      <c r="S201" t="s">
        <v>297</v>
      </c>
      <c r="T201">
        <v>0</v>
      </c>
      <c r="U201">
        <v>3.7</v>
      </c>
      <c r="V201">
        <v>1.5</v>
      </c>
    </row>
    <row r="202" spans="1:22" x14ac:dyDescent="0.2">
      <c r="A202" t="s">
        <v>257</v>
      </c>
      <c r="B202">
        <v>36</v>
      </c>
      <c r="C202" s="1">
        <v>45235</v>
      </c>
      <c r="D202" t="s">
        <v>16</v>
      </c>
      <c r="E202">
        <v>2023</v>
      </c>
      <c r="F202" t="s">
        <v>256</v>
      </c>
      <c r="G202" t="s">
        <v>29</v>
      </c>
      <c r="H202" t="s">
        <v>19</v>
      </c>
      <c r="I202" t="s">
        <v>20</v>
      </c>
      <c r="J202">
        <v>1</v>
      </c>
      <c r="K202">
        <v>0</v>
      </c>
      <c r="L202">
        <v>1</v>
      </c>
      <c r="M202">
        <v>1.3</v>
      </c>
      <c r="N202">
        <v>1</v>
      </c>
      <c r="O202">
        <v>0.30000000000000004</v>
      </c>
      <c r="P202">
        <v>-0.7</v>
      </c>
      <c r="Q202">
        <v>4</v>
      </c>
      <c r="R202">
        <v>1</v>
      </c>
      <c r="S202" t="s">
        <v>297</v>
      </c>
      <c r="T202">
        <v>0</v>
      </c>
      <c r="U202">
        <v>-0.30000000000000004</v>
      </c>
      <c r="V202">
        <v>-1</v>
      </c>
    </row>
    <row r="203" spans="1:22" x14ac:dyDescent="0.2">
      <c r="A203" t="s">
        <v>258</v>
      </c>
      <c r="B203">
        <v>37</v>
      </c>
      <c r="C203" s="1">
        <v>45256</v>
      </c>
      <c r="D203" t="s">
        <v>16</v>
      </c>
      <c r="E203">
        <v>2023</v>
      </c>
      <c r="F203" t="s">
        <v>116</v>
      </c>
      <c r="G203" t="s">
        <v>18</v>
      </c>
      <c r="H203" t="s">
        <v>19</v>
      </c>
      <c r="I203" t="s">
        <v>20</v>
      </c>
      <c r="J203">
        <v>1</v>
      </c>
      <c r="K203">
        <v>0</v>
      </c>
      <c r="L203">
        <v>1</v>
      </c>
      <c r="M203">
        <v>0.4</v>
      </c>
      <c r="N203">
        <v>1.3</v>
      </c>
      <c r="O203">
        <v>-0.9</v>
      </c>
      <c r="P203">
        <v>-1.9</v>
      </c>
      <c r="Q203">
        <v>78</v>
      </c>
      <c r="R203">
        <v>1</v>
      </c>
      <c r="S203" t="s">
        <v>297</v>
      </c>
      <c r="T203">
        <v>0</v>
      </c>
      <c r="U203">
        <v>0.6</v>
      </c>
      <c r="V203">
        <v>-1.3</v>
      </c>
    </row>
    <row r="204" spans="1:22" x14ac:dyDescent="0.2">
      <c r="A204" t="s">
        <v>259</v>
      </c>
      <c r="B204">
        <v>38</v>
      </c>
      <c r="C204" s="1">
        <v>45262</v>
      </c>
      <c r="D204" t="s">
        <v>16</v>
      </c>
      <c r="E204">
        <v>2023</v>
      </c>
      <c r="F204" t="s">
        <v>118</v>
      </c>
      <c r="G204" t="s">
        <v>53</v>
      </c>
      <c r="H204" t="s">
        <v>33</v>
      </c>
      <c r="I204" t="s">
        <v>20</v>
      </c>
      <c r="J204">
        <v>2</v>
      </c>
      <c r="K204">
        <v>0</v>
      </c>
      <c r="L204">
        <v>2</v>
      </c>
      <c r="M204">
        <v>1.8</v>
      </c>
      <c r="N204">
        <v>0.5</v>
      </c>
      <c r="O204">
        <v>1.3</v>
      </c>
      <c r="P204">
        <v>-0.7</v>
      </c>
      <c r="Q204">
        <v>77</v>
      </c>
      <c r="R204">
        <v>1</v>
      </c>
      <c r="S204" t="s">
        <v>297</v>
      </c>
      <c r="T204">
        <v>0</v>
      </c>
      <c r="U204">
        <v>0.19999999999999996</v>
      </c>
      <c r="V204">
        <v>-0.5</v>
      </c>
    </row>
    <row r="205" spans="1:22" x14ac:dyDescent="0.2">
      <c r="A205" t="s">
        <v>260</v>
      </c>
      <c r="B205">
        <v>39</v>
      </c>
      <c r="C205" s="1">
        <v>45269</v>
      </c>
      <c r="D205" t="s">
        <v>16</v>
      </c>
      <c r="E205">
        <v>2023</v>
      </c>
      <c r="F205" t="s">
        <v>219</v>
      </c>
      <c r="G205" t="s">
        <v>49</v>
      </c>
      <c r="H205" t="s">
        <v>19</v>
      </c>
      <c r="I205" t="s">
        <v>25</v>
      </c>
      <c r="J205">
        <v>1</v>
      </c>
      <c r="K205">
        <v>2</v>
      </c>
      <c r="L205">
        <v>-1</v>
      </c>
      <c r="M205">
        <v>0.8</v>
      </c>
      <c r="N205">
        <v>2</v>
      </c>
      <c r="O205">
        <v>-1.2</v>
      </c>
      <c r="P205">
        <v>-0.19999999999999996</v>
      </c>
      <c r="Q205">
        <v>90</v>
      </c>
      <c r="R205">
        <v>1</v>
      </c>
      <c r="S205" t="s">
        <v>297</v>
      </c>
      <c r="T205">
        <v>0</v>
      </c>
      <c r="U205">
        <v>0.19999999999999996</v>
      </c>
      <c r="V205">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88D30-62ED-5041-9EE3-1CF65F137E37}">
  <dimension ref="A1"/>
  <sheetViews>
    <sheetView topLeftCell="D16" zoomScale="256" zoomScaleNormal="266" workbookViewId="0">
      <selection activeCell="J19" sqref="J19"/>
    </sheetView>
  </sheetViews>
  <sheetFormatPr baseColWidth="10" defaultRowHeight="16" x14ac:dyDescent="0.2"/>
  <cols>
    <col min="2" max="2" width="13" bestFit="1" customWidth="1"/>
    <col min="3" max="3" width="16" bestFit="1" customWidth="1"/>
    <col min="4" max="4" width="12.83203125" bestFit="1" customWidth="1"/>
    <col min="5" max="5" width="13.6640625" bestFit="1" customWidth="1"/>
    <col min="6" max="6" width="12.83203125" bestFit="1" customWidth="1"/>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E1B2-6FA5-2846-A832-E53229714AE4}">
  <dimension ref="A6:D65"/>
  <sheetViews>
    <sheetView topLeftCell="A35" zoomScale="117" zoomScaleNormal="188" workbookViewId="0">
      <selection activeCell="H64" sqref="H64"/>
    </sheetView>
  </sheetViews>
  <sheetFormatPr baseColWidth="10" defaultRowHeight="16" x14ac:dyDescent="0.2"/>
  <cols>
    <col min="1" max="1" width="13" bestFit="1" customWidth="1"/>
    <col min="2" max="2" width="17.1640625" bestFit="1" customWidth="1"/>
    <col min="3" max="5" width="17.5" bestFit="1" customWidth="1"/>
    <col min="6" max="6" width="16.6640625" bestFit="1" customWidth="1"/>
    <col min="7" max="7" width="3.1640625" bestFit="1" customWidth="1"/>
    <col min="8" max="8" width="18.1640625" bestFit="1" customWidth="1"/>
    <col min="9" max="9" width="18.5" bestFit="1" customWidth="1"/>
    <col min="10" max="10" width="18.1640625" bestFit="1" customWidth="1"/>
    <col min="11" max="12" width="18.5" bestFit="1" customWidth="1"/>
    <col min="13" max="13" width="18.83203125" bestFit="1" customWidth="1"/>
  </cols>
  <sheetData>
    <row r="6" spans="1:4" x14ac:dyDescent="0.2">
      <c r="B6" s="2" t="s">
        <v>265</v>
      </c>
    </row>
    <row r="7" spans="1:4" x14ac:dyDescent="0.2">
      <c r="B7">
        <v>1</v>
      </c>
    </row>
    <row r="8" spans="1:4" x14ac:dyDescent="0.2">
      <c r="A8" s="2" t="s">
        <v>263</v>
      </c>
      <c r="B8" t="s">
        <v>273</v>
      </c>
      <c r="C8" t="s">
        <v>272</v>
      </c>
      <c r="D8" t="s">
        <v>288</v>
      </c>
    </row>
    <row r="9" spans="1:4" x14ac:dyDescent="0.2">
      <c r="A9" s="3" t="s">
        <v>292</v>
      </c>
      <c r="B9" s="5">
        <v>0.49655172413793097</v>
      </c>
      <c r="C9" s="5">
        <v>0.48275862068965519</v>
      </c>
      <c r="D9">
        <v>0</v>
      </c>
    </row>
    <row r="10" spans="1:4" x14ac:dyDescent="0.2">
      <c r="A10" s="3" t="s">
        <v>293</v>
      </c>
      <c r="B10" s="5">
        <v>1.2363636363636368</v>
      </c>
      <c r="C10" s="5">
        <v>1.4545454545454546</v>
      </c>
      <c r="D10">
        <v>0</v>
      </c>
    </row>
    <row r="11" spans="1:4" x14ac:dyDescent="0.2">
      <c r="A11" s="3" t="s">
        <v>294</v>
      </c>
      <c r="B11" s="5">
        <v>0.8999999999999998</v>
      </c>
      <c r="C11" s="5">
        <v>-0.125</v>
      </c>
      <c r="D11">
        <v>0</v>
      </c>
    </row>
    <row r="12" spans="1:4" x14ac:dyDescent="0.2">
      <c r="A12" s="3" t="s">
        <v>295</v>
      </c>
      <c r="B12" s="5">
        <v>0.82499999999999996</v>
      </c>
      <c r="C12" s="5">
        <v>-0.1</v>
      </c>
      <c r="D12">
        <v>0</v>
      </c>
    </row>
    <row r="13" spans="1:4" x14ac:dyDescent="0.2">
      <c r="A13" s="3" t="s">
        <v>296</v>
      </c>
      <c r="B13" s="5">
        <v>0.89428571428571435</v>
      </c>
      <c r="C13" s="5">
        <v>0.91428571428571426</v>
      </c>
      <c r="D13">
        <v>0</v>
      </c>
    </row>
    <row r="14" spans="1:4" x14ac:dyDescent="0.2">
      <c r="A14" s="3" t="s">
        <v>297</v>
      </c>
      <c r="B14" s="5">
        <v>0.45897435897435912</v>
      </c>
      <c r="C14" s="5">
        <v>0.53846153846153844</v>
      </c>
      <c r="D14">
        <v>0</v>
      </c>
    </row>
    <row r="22" spans="1:4" x14ac:dyDescent="0.2">
      <c r="B22" s="2" t="s">
        <v>265</v>
      </c>
    </row>
    <row r="23" spans="1:4" x14ac:dyDescent="0.2">
      <c r="B23">
        <v>0</v>
      </c>
    </row>
    <row r="24" spans="1:4" x14ac:dyDescent="0.2">
      <c r="A24" s="2" t="s">
        <v>263</v>
      </c>
      <c r="B24" t="s">
        <v>273</v>
      </c>
      <c r="C24" t="s">
        <v>272</v>
      </c>
      <c r="D24" t="s">
        <v>288</v>
      </c>
    </row>
    <row r="25" spans="1:4" x14ac:dyDescent="0.2">
      <c r="A25" s="3" t="s">
        <v>292</v>
      </c>
      <c r="B25" s="5">
        <v>-0.25</v>
      </c>
      <c r="C25" s="5">
        <v>0.16666666666666666</v>
      </c>
      <c r="D25">
        <v>0</v>
      </c>
    </row>
    <row r="26" spans="1:4" x14ac:dyDescent="0.2">
      <c r="A26" s="3" t="s">
        <v>293</v>
      </c>
      <c r="B26" s="5">
        <v>0.19999999999999996</v>
      </c>
      <c r="C26" s="5">
        <v>0</v>
      </c>
      <c r="D26">
        <v>0</v>
      </c>
    </row>
    <row r="27" spans="1:4" x14ac:dyDescent="0.2">
      <c r="A27" s="3" t="s">
        <v>294</v>
      </c>
      <c r="B27" s="5">
        <v>0.31999999999999995</v>
      </c>
      <c r="C27" s="5">
        <v>0.46666666666666667</v>
      </c>
      <c r="D27">
        <v>0</v>
      </c>
    </row>
    <row r="28" spans="1:4" x14ac:dyDescent="0.2">
      <c r="A28" s="3" t="s">
        <v>295</v>
      </c>
      <c r="B28" s="5">
        <v>0.32142857142857145</v>
      </c>
      <c r="C28" s="5">
        <v>0.2857142857142857</v>
      </c>
      <c r="D28">
        <v>0</v>
      </c>
    </row>
    <row r="29" spans="1:4" x14ac:dyDescent="0.2">
      <c r="A29" s="3" t="s">
        <v>296</v>
      </c>
      <c r="B29" s="5">
        <v>-0.14999999999999991</v>
      </c>
      <c r="C29" s="5">
        <v>0</v>
      </c>
      <c r="D29">
        <v>0</v>
      </c>
    </row>
    <row r="37" spans="1:3" x14ac:dyDescent="0.2">
      <c r="A37" s="2" t="s">
        <v>4</v>
      </c>
      <c r="B37" s="3">
        <v>2021</v>
      </c>
    </row>
    <row r="39" spans="1:3" x14ac:dyDescent="0.2">
      <c r="A39" s="2" t="s">
        <v>263</v>
      </c>
      <c r="B39" t="s">
        <v>273</v>
      </c>
      <c r="C39" t="s">
        <v>272</v>
      </c>
    </row>
    <row r="40" spans="1:3" x14ac:dyDescent="0.2">
      <c r="A40" s="3">
        <v>0</v>
      </c>
      <c r="B40" s="5">
        <v>0.32142857142857145</v>
      </c>
      <c r="C40" s="5">
        <v>0.2857142857142857</v>
      </c>
    </row>
    <row r="41" spans="1:3" x14ac:dyDescent="0.2">
      <c r="A41" s="3">
        <v>1</v>
      </c>
      <c r="B41" s="5">
        <v>0.82500000000000018</v>
      </c>
      <c r="C41" s="5">
        <v>-0.1</v>
      </c>
    </row>
    <row r="50" spans="1:4" x14ac:dyDescent="0.2">
      <c r="A50" s="2" t="s">
        <v>263</v>
      </c>
      <c r="B50" t="s">
        <v>273</v>
      </c>
      <c r="C50" t="s">
        <v>272</v>
      </c>
      <c r="D50" t="s">
        <v>291</v>
      </c>
    </row>
    <row r="51" spans="1:4" x14ac:dyDescent="0.2">
      <c r="A51" s="3" t="s">
        <v>292</v>
      </c>
      <c r="B51" s="5">
        <v>0.36857142857142861</v>
      </c>
      <c r="C51" s="5">
        <v>0.42857142857142855</v>
      </c>
      <c r="D51">
        <v>0</v>
      </c>
    </row>
    <row r="52" spans="1:4" x14ac:dyDescent="0.2">
      <c r="A52" s="3" t="s">
        <v>293</v>
      </c>
      <c r="B52" s="5">
        <v>1.1500000000000001</v>
      </c>
      <c r="C52" s="5">
        <v>1.3333333333333333</v>
      </c>
      <c r="D52">
        <v>0</v>
      </c>
    </row>
    <row r="53" spans="1:4" x14ac:dyDescent="0.2">
      <c r="A53" s="3" t="s">
        <v>294</v>
      </c>
      <c r="B53" s="5">
        <v>0.52173913043478248</v>
      </c>
      <c r="C53" s="5">
        <v>0.2608695652173913</v>
      </c>
      <c r="D53">
        <v>0</v>
      </c>
    </row>
    <row r="54" spans="1:4" x14ac:dyDescent="0.2">
      <c r="A54" s="3" t="s">
        <v>295</v>
      </c>
      <c r="B54" s="5">
        <v>0.61764705882352944</v>
      </c>
      <c r="C54" s="5">
        <v>5.8823529411764705E-2</v>
      </c>
      <c r="D54">
        <v>0</v>
      </c>
    </row>
    <row r="55" spans="1:4" x14ac:dyDescent="0.2">
      <c r="A55" s="3" t="s">
        <v>296</v>
      </c>
      <c r="B55" s="5">
        <v>0.83783783783783783</v>
      </c>
      <c r="C55" s="5">
        <v>0.86486486486486491</v>
      </c>
      <c r="D55">
        <v>0</v>
      </c>
    </row>
    <row r="56" spans="1:4" x14ac:dyDescent="0.2">
      <c r="A56" s="3" t="s">
        <v>297</v>
      </c>
      <c r="B56" s="5">
        <v>0.45897435897435895</v>
      </c>
      <c r="C56" s="5">
        <v>0.53846153846153844</v>
      </c>
      <c r="D56">
        <v>0</v>
      </c>
    </row>
    <row r="61" spans="1:4" x14ac:dyDescent="0.2">
      <c r="A61" s="2" t="s">
        <v>4</v>
      </c>
      <c r="B61" s="3">
        <v>2021</v>
      </c>
    </row>
    <row r="63" spans="1:4" x14ac:dyDescent="0.2">
      <c r="A63" s="2" t="s">
        <v>263</v>
      </c>
      <c r="B63" t="s">
        <v>298</v>
      </c>
      <c r="C63" t="s">
        <v>299</v>
      </c>
    </row>
    <row r="64" spans="1:4" x14ac:dyDescent="0.2">
      <c r="A64" s="3">
        <v>0</v>
      </c>
      <c r="B64" s="5">
        <v>2.8571428571428574E-2</v>
      </c>
      <c r="C64" s="5">
        <v>6.4285714285714279E-2</v>
      </c>
    </row>
    <row r="65" spans="1:3" x14ac:dyDescent="0.2">
      <c r="A65" s="3">
        <v>1</v>
      </c>
      <c r="B65" s="5">
        <v>-0.65999999999999992</v>
      </c>
      <c r="C65" s="5">
        <v>0.26499999999999996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2DB3F-06B7-3041-BFE5-24BD53EB9641}">
  <dimension ref="A1:C205"/>
  <sheetViews>
    <sheetView workbookViewId="0"/>
  </sheetViews>
  <sheetFormatPr baseColWidth="10" defaultRowHeight="16" x14ac:dyDescent="0.2"/>
  <cols>
    <col min="1" max="1" width="16.6640625" bestFit="1" customWidth="1"/>
    <col min="2" max="2" width="21.33203125" bestFit="1" customWidth="1"/>
    <col min="3" max="3" width="15.33203125" bestFit="1" customWidth="1"/>
    <col min="4" max="4" width="17.83203125" bestFit="1" customWidth="1"/>
    <col min="5" max="5" width="21.33203125" bestFit="1" customWidth="1"/>
    <col min="6" max="6" width="15.33203125" bestFit="1" customWidth="1"/>
  </cols>
  <sheetData>
    <row r="1" spans="1:3" x14ac:dyDescent="0.2">
      <c r="A1" t="s">
        <v>0</v>
      </c>
      <c r="B1" t="s">
        <v>261</v>
      </c>
      <c r="C1" t="s">
        <v>262</v>
      </c>
    </row>
    <row r="2" spans="1:3" x14ac:dyDescent="0.2">
      <c r="A2" t="s">
        <v>15</v>
      </c>
      <c r="B2">
        <v>90</v>
      </c>
      <c r="C2">
        <v>1</v>
      </c>
    </row>
    <row r="3" spans="1:3" x14ac:dyDescent="0.2">
      <c r="A3" t="s">
        <v>21</v>
      </c>
      <c r="B3">
        <v>90</v>
      </c>
      <c r="C3">
        <v>1</v>
      </c>
    </row>
    <row r="4" spans="1:3" x14ac:dyDescent="0.2">
      <c r="A4" t="s">
        <v>23</v>
      </c>
      <c r="B4">
        <v>90</v>
      </c>
      <c r="C4">
        <v>1</v>
      </c>
    </row>
    <row r="5" spans="1:3" x14ac:dyDescent="0.2">
      <c r="A5" t="s">
        <v>26</v>
      </c>
      <c r="B5">
        <v>90</v>
      </c>
      <c r="C5">
        <v>1</v>
      </c>
    </row>
    <row r="6" spans="1:3" x14ac:dyDescent="0.2">
      <c r="A6" t="s">
        <v>28</v>
      </c>
      <c r="B6">
        <v>90</v>
      </c>
      <c r="C6">
        <v>1</v>
      </c>
    </row>
    <row r="7" spans="1:3" x14ac:dyDescent="0.2">
      <c r="A7" t="s">
        <v>30</v>
      </c>
      <c r="B7">
        <v>90</v>
      </c>
      <c r="C7">
        <v>1</v>
      </c>
    </row>
    <row r="8" spans="1:3" x14ac:dyDescent="0.2">
      <c r="A8" t="s">
        <v>32</v>
      </c>
      <c r="B8">
        <v>90</v>
      </c>
      <c r="C8">
        <v>1</v>
      </c>
    </row>
    <row r="9" spans="1:3" x14ac:dyDescent="0.2">
      <c r="A9" t="s">
        <v>34</v>
      </c>
      <c r="B9">
        <v>90</v>
      </c>
      <c r="C9">
        <v>1</v>
      </c>
    </row>
    <row r="10" spans="1:3" x14ac:dyDescent="0.2">
      <c r="A10" t="s">
        <v>37</v>
      </c>
      <c r="B10">
        <v>90</v>
      </c>
      <c r="C10">
        <v>1</v>
      </c>
    </row>
    <row r="11" spans="1:3" x14ac:dyDescent="0.2">
      <c r="A11" t="s">
        <v>39</v>
      </c>
      <c r="B11">
        <v>90</v>
      </c>
      <c r="C11">
        <v>1</v>
      </c>
    </row>
    <row r="12" spans="1:3" x14ac:dyDescent="0.2">
      <c r="A12" t="s">
        <v>41</v>
      </c>
      <c r="B12">
        <v>90</v>
      </c>
      <c r="C12">
        <v>1</v>
      </c>
    </row>
    <row r="13" spans="1:3" x14ac:dyDescent="0.2">
      <c r="A13" t="s">
        <v>43</v>
      </c>
      <c r="B13">
        <v>90</v>
      </c>
      <c r="C13">
        <v>1</v>
      </c>
    </row>
    <row r="14" spans="1:3" x14ac:dyDescent="0.2">
      <c r="A14" t="s">
        <v>45</v>
      </c>
      <c r="B14">
        <v>0</v>
      </c>
      <c r="C14">
        <v>0</v>
      </c>
    </row>
    <row r="15" spans="1:3" x14ac:dyDescent="0.2">
      <c r="A15" t="s">
        <v>46</v>
      </c>
      <c r="B15">
        <v>0</v>
      </c>
      <c r="C15">
        <v>0</v>
      </c>
    </row>
    <row r="16" spans="1:3" x14ac:dyDescent="0.2">
      <c r="A16" t="s">
        <v>48</v>
      </c>
      <c r="B16">
        <v>0</v>
      </c>
      <c r="C16">
        <v>0</v>
      </c>
    </row>
    <row r="17" spans="1:3" x14ac:dyDescent="0.2">
      <c r="A17" t="s">
        <v>50</v>
      </c>
      <c r="B17">
        <v>0</v>
      </c>
      <c r="C17">
        <v>0</v>
      </c>
    </row>
    <row r="18" spans="1:3" x14ac:dyDescent="0.2">
      <c r="A18" t="s">
        <v>52</v>
      </c>
      <c r="B18">
        <v>0</v>
      </c>
      <c r="C18">
        <v>0</v>
      </c>
    </row>
    <row r="19" spans="1:3" x14ac:dyDescent="0.2">
      <c r="A19" t="s">
        <v>54</v>
      </c>
      <c r="B19">
        <v>26</v>
      </c>
      <c r="C19">
        <v>1</v>
      </c>
    </row>
    <row r="20" spans="1:3" x14ac:dyDescent="0.2">
      <c r="A20" t="s">
        <v>56</v>
      </c>
      <c r="B20">
        <v>90</v>
      </c>
      <c r="C20">
        <v>1</v>
      </c>
    </row>
    <row r="21" spans="1:3" x14ac:dyDescent="0.2">
      <c r="A21" t="s">
        <v>57</v>
      </c>
      <c r="B21">
        <v>0</v>
      </c>
      <c r="C21">
        <v>0</v>
      </c>
    </row>
    <row r="22" spans="1:3" x14ac:dyDescent="0.2">
      <c r="A22" t="s">
        <v>58</v>
      </c>
      <c r="B22">
        <v>90</v>
      </c>
      <c r="C22">
        <v>1</v>
      </c>
    </row>
    <row r="23" spans="1:3" x14ac:dyDescent="0.2">
      <c r="A23" t="s">
        <v>59</v>
      </c>
      <c r="B23">
        <v>90</v>
      </c>
      <c r="C23">
        <v>1</v>
      </c>
    </row>
    <row r="24" spans="1:3" x14ac:dyDescent="0.2">
      <c r="A24" t="s">
        <v>61</v>
      </c>
      <c r="B24">
        <v>32</v>
      </c>
      <c r="C24">
        <v>1</v>
      </c>
    </row>
    <row r="25" spans="1:3" x14ac:dyDescent="0.2">
      <c r="A25" t="s">
        <v>63</v>
      </c>
      <c r="B25">
        <v>90</v>
      </c>
      <c r="C25">
        <v>1</v>
      </c>
    </row>
    <row r="26" spans="1:3" x14ac:dyDescent="0.2">
      <c r="A26" t="s">
        <v>64</v>
      </c>
      <c r="B26">
        <v>79</v>
      </c>
      <c r="C26">
        <v>1</v>
      </c>
    </row>
    <row r="27" spans="1:3" x14ac:dyDescent="0.2">
      <c r="A27" t="s">
        <v>66</v>
      </c>
      <c r="B27">
        <v>90</v>
      </c>
      <c r="C27">
        <v>1</v>
      </c>
    </row>
    <row r="28" spans="1:3" x14ac:dyDescent="0.2">
      <c r="A28" t="s">
        <v>67</v>
      </c>
      <c r="B28">
        <v>90</v>
      </c>
      <c r="C28">
        <v>1</v>
      </c>
    </row>
    <row r="29" spans="1:3" x14ac:dyDescent="0.2">
      <c r="A29" t="s">
        <v>69</v>
      </c>
      <c r="B29">
        <v>90</v>
      </c>
      <c r="C29">
        <v>1</v>
      </c>
    </row>
    <row r="30" spans="1:3" x14ac:dyDescent="0.2">
      <c r="A30" t="s">
        <v>71</v>
      </c>
      <c r="B30">
        <v>81</v>
      </c>
      <c r="C30">
        <v>1</v>
      </c>
    </row>
    <row r="31" spans="1:3" x14ac:dyDescent="0.2">
      <c r="A31" t="s">
        <v>72</v>
      </c>
      <c r="B31">
        <v>90</v>
      </c>
      <c r="C31">
        <v>1</v>
      </c>
    </row>
    <row r="32" spans="1:3" x14ac:dyDescent="0.2">
      <c r="A32" t="s">
        <v>74</v>
      </c>
      <c r="B32">
        <v>90</v>
      </c>
      <c r="C32">
        <v>1</v>
      </c>
    </row>
    <row r="33" spans="1:3" x14ac:dyDescent="0.2">
      <c r="A33" t="s">
        <v>75</v>
      </c>
      <c r="B33">
        <v>90</v>
      </c>
      <c r="C33">
        <v>1</v>
      </c>
    </row>
    <row r="34" spans="1:3" x14ac:dyDescent="0.2">
      <c r="A34" t="s">
        <v>76</v>
      </c>
      <c r="B34">
        <v>90</v>
      </c>
      <c r="C34">
        <v>1</v>
      </c>
    </row>
    <row r="35" spans="1:3" x14ac:dyDescent="0.2">
      <c r="A35" t="s">
        <v>77</v>
      </c>
      <c r="B35">
        <v>90</v>
      </c>
      <c r="C35">
        <v>1</v>
      </c>
    </row>
    <row r="36" spans="1:3" x14ac:dyDescent="0.2">
      <c r="A36" t="s">
        <v>78</v>
      </c>
      <c r="B36">
        <v>90</v>
      </c>
      <c r="C36">
        <v>1</v>
      </c>
    </row>
    <row r="37" spans="1:3" x14ac:dyDescent="0.2">
      <c r="A37" t="s">
        <v>80</v>
      </c>
      <c r="B37">
        <v>90</v>
      </c>
      <c r="C37">
        <v>1</v>
      </c>
    </row>
    <row r="38" spans="1:3" x14ac:dyDescent="0.2">
      <c r="A38" t="s">
        <v>81</v>
      </c>
      <c r="B38">
        <v>90</v>
      </c>
      <c r="C38">
        <v>1</v>
      </c>
    </row>
    <row r="39" spans="1:3" x14ac:dyDescent="0.2">
      <c r="A39" t="s">
        <v>82</v>
      </c>
      <c r="B39">
        <v>90</v>
      </c>
      <c r="C39">
        <v>1</v>
      </c>
    </row>
    <row r="40" spans="1:3" x14ac:dyDescent="0.2">
      <c r="A40" t="s">
        <v>83</v>
      </c>
      <c r="B40">
        <v>90</v>
      </c>
      <c r="C40">
        <v>1</v>
      </c>
    </row>
    <row r="41" spans="1:3" x14ac:dyDescent="0.2">
      <c r="A41" t="s">
        <v>84</v>
      </c>
      <c r="B41">
        <v>90</v>
      </c>
      <c r="C41">
        <v>1</v>
      </c>
    </row>
    <row r="42" spans="1:3" x14ac:dyDescent="0.2">
      <c r="A42" t="s">
        <v>85</v>
      </c>
      <c r="B42">
        <v>79</v>
      </c>
      <c r="C42">
        <v>1</v>
      </c>
    </row>
    <row r="43" spans="1:3" x14ac:dyDescent="0.2">
      <c r="A43" t="s">
        <v>86</v>
      </c>
      <c r="B43">
        <v>90</v>
      </c>
      <c r="C43">
        <v>1</v>
      </c>
    </row>
    <row r="44" spans="1:3" x14ac:dyDescent="0.2">
      <c r="A44" t="s">
        <v>88</v>
      </c>
      <c r="B44">
        <v>90</v>
      </c>
      <c r="C44">
        <v>1</v>
      </c>
    </row>
    <row r="45" spans="1:3" x14ac:dyDescent="0.2">
      <c r="A45" t="s">
        <v>89</v>
      </c>
      <c r="B45">
        <v>90</v>
      </c>
      <c r="C45">
        <v>1</v>
      </c>
    </row>
    <row r="46" spans="1:3" x14ac:dyDescent="0.2">
      <c r="A46" t="s">
        <v>90</v>
      </c>
      <c r="B46">
        <v>90</v>
      </c>
      <c r="C46">
        <v>1</v>
      </c>
    </row>
    <row r="47" spans="1:3" x14ac:dyDescent="0.2">
      <c r="A47" t="s">
        <v>91</v>
      </c>
      <c r="B47">
        <v>90</v>
      </c>
      <c r="C47">
        <v>1</v>
      </c>
    </row>
    <row r="48" spans="1:3" x14ac:dyDescent="0.2">
      <c r="A48" t="s">
        <v>92</v>
      </c>
      <c r="B48">
        <v>90</v>
      </c>
      <c r="C48">
        <v>1</v>
      </c>
    </row>
    <row r="49" spans="1:3" x14ac:dyDescent="0.2">
      <c r="A49" t="s">
        <v>93</v>
      </c>
      <c r="B49">
        <v>90</v>
      </c>
      <c r="C49">
        <v>1</v>
      </c>
    </row>
    <row r="50" spans="1:3" x14ac:dyDescent="0.2">
      <c r="A50" t="s">
        <v>94</v>
      </c>
      <c r="B50">
        <v>90</v>
      </c>
      <c r="C50">
        <v>1</v>
      </c>
    </row>
    <row r="51" spans="1:3" x14ac:dyDescent="0.2">
      <c r="A51" t="s">
        <v>95</v>
      </c>
      <c r="B51">
        <v>90</v>
      </c>
      <c r="C51">
        <v>1</v>
      </c>
    </row>
    <row r="52" spans="1:3" x14ac:dyDescent="0.2">
      <c r="A52" t="s">
        <v>96</v>
      </c>
      <c r="B52">
        <v>90</v>
      </c>
      <c r="C52">
        <v>1</v>
      </c>
    </row>
    <row r="53" spans="1:3" x14ac:dyDescent="0.2">
      <c r="A53" t="s">
        <v>97</v>
      </c>
      <c r="B53">
        <v>90</v>
      </c>
      <c r="C53">
        <v>1</v>
      </c>
    </row>
    <row r="54" spans="1:3" x14ac:dyDescent="0.2">
      <c r="A54" t="s">
        <v>98</v>
      </c>
      <c r="B54">
        <v>90</v>
      </c>
      <c r="C54">
        <v>1</v>
      </c>
    </row>
    <row r="55" spans="1:3" x14ac:dyDescent="0.2">
      <c r="A55" t="s">
        <v>99</v>
      </c>
      <c r="B55">
        <v>90</v>
      </c>
      <c r="C55">
        <v>1</v>
      </c>
    </row>
    <row r="56" spans="1:3" x14ac:dyDescent="0.2">
      <c r="A56" t="s">
        <v>100</v>
      </c>
      <c r="B56">
        <v>0</v>
      </c>
      <c r="C56">
        <v>0</v>
      </c>
    </row>
    <row r="57" spans="1:3" x14ac:dyDescent="0.2">
      <c r="A57" t="s">
        <v>101</v>
      </c>
      <c r="B57">
        <v>90</v>
      </c>
      <c r="C57">
        <v>1</v>
      </c>
    </row>
    <row r="58" spans="1:3" x14ac:dyDescent="0.2">
      <c r="A58" t="s">
        <v>102</v>
      </c>
      <c r="B58">
        <v>90</v>
      </c>
      <c r="C58">
        <v>1</v>
      </c>
    </row>
    <row r="59" spans="1:3" x14ac:dyDescent="0.2">
      <c r="A59" t="s">
        <v>103</v>
      </c>
      <c r="B59">
        <v>90</v>
      </c>
      <c r="C59">
        <v>1</v>
      </c>
    </row>
    <row r="60" spans="1:3" x14ac:dyDescent="0.2">
      <c r="A60" t="s">
        <v>104</v>
      </c>
      <c r="B60">
        <v>90</v>
      </c>
      <c r="C60">
        <v>1</v>
      </c>
    </row>
    <row r="61" spans="1:3" x14ac:dyDescent="0.2">
      <c r="A61" t="s">
        <v>105</v>
      </c>
      <c r="B61">
        <v>90</v>
      </c>
      <c r="C61">
        <v>1</v>
      </c>
    </row>
    <row r="62" spans="1:3" x14ac:dyDescent="0.2">
      <c r="A62" t="s">
        <v>106</v>
      </c>
      <c r="B62">
        <v>90</v>
      </c>
      <c r="C62">
        <v>1</v>
      </c>
    </row>
    <row r="63" spans="1:3" x14ac:dyDescent="0.2">
      <c r="A63" t="s">
        <v>107</v>
      </c>
      <c r="B63">
        <v>61</v>
      </c>
      <c r="C63">
        <v>1</v>
      </c>
    </row>
    <row r="64" spans="1:3" x14ac:dyDescent="0.2">
      <c r="A64" t="s">
        <v>108</v>
      </c>
      <c r="B64">
        <v>0</v>
      </c>
      <c r="C64">
        <v>0</v>
      </c>
    </row>
    <row r="65" spans="1:3" x14ac:dyDescent="0.2">
      <c r="A65" t="s">
        <v>109</v>
      </c>
      <c r="B65">
        <v>0</v>
      </c>
      <c r="C65">
        <v>0</v>
      </c>
    </row>
    <row r="66" spans="1:3" x14ac:dyDescent="0.2">
      <c r="A66" t="s">
        <v>110</v>
      </c>
      <c r="B66">
        <v>66</v>
      </c>
      <c r="C66">
        <v>1</v>
      </c>
    </row>
    <row r="67" spans="1:3" x14ac:dyDescent="0.2">
      <c r="A67" t="s">
        <v>111</v>
      </c>
      <c r="B67">
        <v>90</v>
      </c>
      <c r="C67">
        <v>1</v>
      </c>
    </row>
    <row r="68" spans="1:3" x14ac:dyDescent="0.2">
      <c r="A68" t="s">
        <v>112</v>
      </c>
      <c r="B68">
        <v>90</v>
      </c>
      <c r="C68">
        <v>1</v>
      </c>
    </row>
    <row r="69" spans="1:3" x14ac:dyDescent="0.2">
      <c r="A69" t="s">
        <v>113</v>
      </c>
      <c r="B69">
        <v>90</v>
      </c>
      <c r="C69">
        <v>1</v>
      </c>
    </row>
    <row r="70" spans="1:3" x14ac:dyDescent="0.2">
      <c r="A70" t="s">
        <v>114</v>
      </c>
      <c r="B70">
        <v>90</v>
      </c>
      <c r="C70">
        <v>1</v>
      </c>
    </row>
    <row r="71" spans="1:3" x14ac:dyDescent="0.2">
      <c r="A71" t="s">
        <v>115</v>
      </c>
      <c r="B71">
        <v>90</v>
      </c>
      <c r="C71">
        <v>1</v>
      </c>
    </row>
    <row r="72" spans="1:3" x14ac:dyDescent="0.2">
      <c r="A72" t="s">
        <v>117</v>
      </c>
      <c r="B72">
        <v>90</v>
      </c>
      <c r="C72">
        <v>1</v>
      </c>
    </row>
    <row r="73" spans="1:3" x14ac:dyDescent="0.2">
      <c r="A73" t="s">
        <v>119</v>
      </c>
      <c r="B73">
        <v>90</v>
      </c>
      <c r="C73">
        <v>1</v>
      </c>
    </row>
    <row r="74" spans="1:3" x14ac:dyDescent="0.2">
      <c r="A74" t="s">
        <v>121</v>
      </c>
      <c r="B74">
        <v>90</v>
      </c>
      <c r="C74">
        <v>1</v>
      </c>
    </row>
    <row r="75" spans="1:3" x14ac:dyDescent="0.2">
      <c r="A75" t="s">
        <v>122</v>
      </c>
      <c r="B75">
        <v>0</v>
      </c>
      <c r="C75">
        <v>0</v>
      </c>
    </row>
    <row r="76" spans="1:3" x14ac:dyDescent="0.2">
      <c r="A76" t="s">
        <v>124</v>
      </c>
      <c r="B76">
        <v>0</v>
      </c>
      <c r="C76">
        <v>0</v>
      </c>
    </row>
    <row r="77" spans="1:3" x14ac:dyDescent="0.2">
      <c r="A77" t="s">
        <v>125</v>
      </c>
      <c r="B77">
        <v>0</v>
      </c>
      <c r="C77">
        <v>0</v>
      </c>
    </row>
    <row r="78" spans="1:3" x14ac:dyDescent="0.2">
      <c r="A78" t="s">
        <v>126</v>
      </c>
      <c r="B78">
        <v>58</v>
      </c>
      <c r="C78">
        <v>1</v>
      </c>
    </row>
    <row r="79" spans="1:3" x14ac:dyDescent="0.2">
      <c r="A79" t="s">
        <v>127</v>
      </c>
      <c r="B79">
        <v>0</v>
      </c>
      <c r="C79">
        <v>0</v>
      </c>
    </row>
    <row r="80" spans="1:3" x14ac:dyDescent="0.2">
      <c r="A80" t="s">
        <v>128</v>
      </c>
      <c r="B80">
        <v>0</v>
      </c>
      <c r="C80">
        <v>0</v>
      </c>
    </row>
    <row r="81" spans="1:3" x14ac:dyDescent="0.2">
      <c r="A81" t="s">
        <v>129</v>
      </c>
      <c r="B81">
        <v>0</v>
      </c>
      <c r="C81">
        <v>0</v>
      </c>
    </row>
    <row r="82" spans="1:3" x14ac:dyDescent="0.2">
      <c r="A82" t="s">
        <v>130</v>
      </c>
      <c r="B82">
        <v>0</v>
      </c>
      <c r="C82">
        <v>0</v>
      </c>
    </row>
    <row r="83" spans="1:3" x14ac:dyDescent="0.2">
      <c r="A83" t="s">
        <v>131</v>
      </c>
      <c r="B83">
        <v>0</v>
      </c>
      <c r="C83">
        <v>0</v>
      </c>
    </row>
    <row r="84" spans="1:3" x14ac:dyDescent="0.2">
      <c r="A84" t="s">
        <v>132</v>
      </c>
      <c r="B84">
        <v>0</v>
      </c>
      <c r="C84">
        <v>0</v>
      </c>
    </row>
    <row r="85" spans="1:3" x14ac:dyDescent="0.2">
      <c r="A85" t="s">
        <v>133</v>
      </c>
      <c r="B85">
        <v>0</v>
      </c>
      <c r="C85">
        <v>0</v>
      </c>
    </row>
    <row r="86" spans="1:3" x14ac:dyDescent="0.2">
      <c r="A86" t="s">
        <v>134</v>
      </c>
      <c r="B86">
        <v>0</v>
      </c>
      <c r="C86">
        <v>0</v>
      </c>
    </row>
    <row r="87" spans="1:3" x14ac:dyDescent="0.2">
      <c r="A87" t="s">
        <v>135</v>
      </c>
      <c r="B87">
        <v>0</v>
      </c>
      <c r="C87">
        <v>0</v>
      </c>
    </row>
    <row r="88" spans="1:3" x14ac:dyDescent="0.2">
      <c r="A88" t="s">
        <v>136</v>
      </c>
      <c r="B88">
        <v>0</v>
      </c>
      <c r="C88">
        <v>0</v>
      </c>
    </row>
    <row r="89" spans="1:3" x14ac:dyDescent="0.2">
      <c r="A89" t="s">
        <v>137</v>
      </c>
      <c r="B89">
        <v>0</v>
      </c>
      <c r="C89">
        <v>0</v>
      </c>
    </row>
    <row r="90" spans="1:3" x14ac:dyDescent="0.2">
      <c r="A90" t="s">
        <v>138</v>
      </c>
      <c r="B90">
        <v>0</v>
      </c>
      <c r="C90">
        <v>0</v>
      </c>
    </row>
    <row r="91" spans="1:3" x14ac:dyDescent="0.2">
      <c r="A91" t="s">
        <v>139</v>
      </c>
      <c r="B91">
        <v>20</v>
      </c>
      <c r="C91">
        <v>1</v>
      </c>
    </row>
    <row r="92" spans="1:3" x14ac:dyDescent="0.2">
      <c r="A92" t="s">
        <v>140</v>
      </c>
      <c r="B92">
        <v>30</v>
      </c>
      <c r="C92">
        <v>1</v>
      </c>
    </row>
    <row r="93" spans="1:3" x14ac:dyDescent="0.2">
      <c r="A93" t="s">
        <v>141</v>
      </c>
      <c r="B93">
        <v>45</v>
      </c>
      <c r="C93">
        <v>1</v>
      </c>
    </row>
    <row r="94" spans="1:3" x14ac:dyDescent="0.2">
      <c r="A94" t="s">
        <v>142</v>
      </c>
      <c r="B94">
        <v>90</v>
      </c>
      <c r="C94">
        <v>1</v>
      </c>
    </row>
    <row r="95" spans="1:3" x14ac:dyDescent="0.2">
      <c r="A95" t="s">
        <v>143</v>
      </c>
      <c r="B95">
        <v>90</v>
      </c>
      <c r="C95">
        <v>1</v>
      </c>
    </row>
    <row r="96" spans="1:3" x14ac:dyDescent="0.2">
      <c r="A96" t="s">
        <v>145</v>
      </c>
      <c r="B96">
        <v>22</v>
      </c>
      <c r="C96">
        <v>1</v>
      </c>
    </row>
    <row r="97" spans="1:3" x14ac:dyDescent="0.2">
      <c r="A97" t="s">
        <v>147</v>
      </c>
      <c r="B97">
        <v>0</v>
      </c>
      <c r="C97">
        <v>0</v>
      </c>
    </row>
    <row r="98" spans="1:3" x14ac:dyDescent="0.2">
      <c r="A98" t="s">
        <v>148</v>
      </c>
      <c r="B98">
        <v>0</v>
      </c>
      <c r="C98">
        <v>0</v>
      </c>
    </row>
    <row r="99" spans="1:3" x14ac:dyDescent="0.2">
      <c r="A99" t="s">
        <v>149</v>
      </c>
      <c r="B99">
        <v>0</v>
      </c>
      <c r="C99">
        <v>0</v>
      </c>
    </row>
    <row r="100" spans="1:3" x14ac:dyDescent="0.2">
      <c r="A100" t="s">
        <v>150</v>
      </c>
      <c r="B100">
        <v>20</v>
      </c>
      <c r="C100">
        <v>1</v>
      </c>
    </row>
    <row r="101" spans="1:3" x14ac:dyDescent="0.2">
      <c r="A101" t="s">
        <v>151</v>
      </c>
      <c r="B101">
        <v>59</v>
      </c>
      <c r="C101">
        <v>1</v>
      </c>
    </row>
    <row r="102" spans="1:3" x14ac:dyDescent="0.2">
      <c r="A102" t="s">
        <v>152</v>
      </c>
      <c r="B102">
        <v>90</v>
      </c>
      <c r="C102">
        <v>1</v>
      </c>
    </row>
    <row r="103" spans="1:3" x14ac:dyDescent="0.2">
      <c r="A103" t="s">
        <v>153</v>
      </c>
      <c r="B103">
        <v>64</v>
      </c>
      <c r="C103">
        <v>1</v>
      </c>
    </row>
    <row r="104" spans="1:3" x14ac:dyDescent="0.2">
      <c r="A104" t="s">
        <v>154</v>
      </c>
      <c r="B104">
        <v>76</v>
      </c>
      <c r="C104">
        <v>1</v>
      </c>
    </row>
    <row r="105" spans="1:3" x14ac:dyDescent="0.2">
      <c r="A105" t="s">
        <v>155</v>
      </c>
      <c r="B105">
        <v>33</v>
      </c>
      <c r="C105">
        <v>1</v>
      </c>
    </row>
    <row r="106" spans="1:3" x14ac:dyDescent="0.2">
      <c r="A106" t="s">
        <v>156</v>
      </c>
      <c r="B106">
        <v>90</v>
      </c>
      <c r="C106">
        <v>1</v>
      </c>
    </row>
    <row r="107" spans="1:3" x14ac:dyDescent="0.2">
      <c r="A107" t="s">
        <v>157</v>
      </c>
      <c r="B107">
        <v>90</v>
      </c>
      <c r="C107">
        <v>1</v>
      </c>
    </row>
    <row r="108" spans="1:3" x14ac:dyDescent="0.2">
      <c r="A108" t="s">
        <v>158</v>
      </c>
      <c r="B108">
        <v>90</v>
      </c>
      <c r="C108">
        <v>1</v>
      </c>
    </row>
    <row r="109" spans="1:3" x14ac:dyDescent="0.2">
      <c r="A109" t="s">
        <v>159</v>
      </c>
      <c r="B109">
        <v>79</v>
      </c>
      <c r="C109">
        <v>1</v>
      </c>
    </row>
    <row r="110" spans="1:3" x14ac:dyDescent="0.2">
      <c r="A110" t="s">
        <v>160</v>
      </c>
      <c r="B110">
        <v>90</v>
      </c>
      <c r="C110">
        <v>1</v>
      </c>
    </row>
    <row r="111" spans="1:3" x14ac:dyDescent="0.2">
      <c r="A111" t="s">
        <v>161</v>
      </c>
      <c r="B111">
        <v>90</v>
      </c>
      <c r="C111">
        <v>1</v>
      </c>
    </row>
    <row r="112" spans="1:3" x14ac:dyDescent="0.2">
      <c r="A112" t="s">
        <v>162</v>
      </c>
      <c r="B112">
        <v>90</v>
      </c>
      <c r="C112">
        <v>1</v>
      </c>
    </row>
    <row r="113" spans="1:3" x14ac:dyDescent="0.2">
      <c r="A113" t="s">
        <v>163</v>
      </c>
      <c r="B113">
        <v>90</v>
      </c>
      <c r="C113">
        <v>1</v>
      </c>
    </row>
    <row r="114" spans="1:3" x14ac:dyDescent="0.2">
      <c r="A114" t="s">
        <v>164</v>
      </c>
      <c r="B114">
        <v>90</v>
      </c>
      <c r="C114">
        <v>1</v>
      </c>
    </row>
    <row r="115" spans="1:3" x14ac:dyDescent="0.2">
      <c r="A115" t="s">
        <v>165</v>
      </c>
      <c r="B115">
        <v>16</v>
      </c>
      <c r="C115">
        <v>1</v>
      </c>
    </row>
    <row r="116" spans="1:3" x14ac:dyDescent="0.2">
      <c r="A116" t="s">
        <v>166</v>
      </c>
      <c r="B116">
        <v>0</v>
      </c>
      <c r="C116">
        <v>0</v>
      </c>
    </row>
    <row r="117" spans="1:3" x14ac:dyDescent="0.2">
      <c r="A117" t="s">
        <v>167</v>
      </c>
      <c r="B117">
        <v>0</v>
      </c>
      <c r="C117">
        <v>0</v>
      </c>
    </row>
    <row r="118" spans="1:3" x14ac:dyDescent="0.2">
      <c r="A118" t="s">
        <v>168</v>
      </c>
      <c r="B118">
        <v>0</v>
      </c>
      <c r="C118">
        <v>0</v>
      </c>
    </row>
    <row r="119" spans="1:3" x14ac:dyDescent="0.2">
      <c r="A119" t="s">
        <v>169</v>
      </c>
      <c r="B119">
        <v>0</v>
      </c>
      <c r="C119">
        <v>0</v>
      </c>
    </row>
    <row r="120" spans="1:3" x14ac:dyDescent="0.2">
      <c r="A120" t="s">
        <v>170</v>
      </c>
      <c r="B120">
        <v>0</v>
      </c>
      <c r="C120">
        <v>0</v>
      </c>
    </row>
    <row r="121" spans="1:3" x14ac:dyDescent="0.2">
      <c r="A121" t="s">
        <v>171</v>
      </c>
      <c r="B121">
        <v>0</v>
      </c>
      <c r="C121">
        <v>0</v>
      </c>
    </row>
    <row r="122" spans="1:3" x14ac:dyDescent="0.2">
      <c r="A122" t="s">
        <v>172</v>
      </c>
      <c r="B122">
        <v>0</v>
      </c>
      <c r="C122">
        <v>0</v>
      </c>
    </row>
    <row r="123" spans="1:3" x14ac:dyDescent="0.2">
      <c r="A123" t="s">
        <v>173</v>
      </c>
      <c r="B123">
        <v>0</v>
      </c>
      <c r="C123">
        <v>0</v>
      </c>
    </row>
    <row r="124" spans="1:3" x14ac:dyDescent="0.2">
      <c r="A124" t="s">
        <v>174</v>
      </c>
      <c r="B124">
        <v>0</v>
      </c>
      <c r="C124">
        <v>0</v>
      </c>
    </row>
    <row r="125" spans="1:3" x14ac:dyDescent="0.2">
      <c r="A125" t="s">
        <v>175</v>
      </c>
      <c r="B125">
        <v>0</v>
      </c>
      <c r="C125">
        <v>0</v>
      </c>
    </row>
    <row r="126" spans="1:3" x14ac:dyDescent="0.2">
      <c r="A126" t="s">
        <v>176</v>
      </c>
      <c r="B126">
        <v>0</v>
      </c>
      <c r="C126">
        <v>0</v>
      </c>
    </row>
    <row r="127" spans="1:3" x14ac:dyDescent="0.2">
      <c r="A127" t="s">
        <v>177</v>
      </c>
      <c r="B127">
        <v>12</v>
      </c>
      <c r="C127">
        <v>1</v>
      </c>
    </row>
    <row r="128" spans="1:3" x14ac:dyDescent="0.2">
      <c r="A128" t="s">
        <v>178</v>
      </c>
      <c r="B128">
        <v>18</v>
      </c>
      <c r="C128">
        <v>1</v>
      </c>
    </row>
    <row r="129" spans="1:3" x14ac:dyDescent="0.2">
      <c r="A129" t="s">
        <v>179</v>
      </c>
      <c r="B129">
        <v>59</v>
      </c>
      <c r="C129">
        <v>1</v>
      </c>
    </row>
    <row r="130" spans="1:3" x14ac:dyDescent="0.2">
      <c r="A130" t="s">
        <v>180</v>
      </c>
      <c r="B130">
        <v>86</v>
      </c>
      <c r="C130">
        <v>1</v>
      </c>
    </row>
    <row r="131" spans="1:3" x14ac:dyDescent="0.2">
      <c r="A131" t="s">
        <v>181</v>
      </c>
      <c r="B131">
        <v>45</v>
      </c>
      <c r="C131">
        <v>1</v>
      </c>
    </row>
    <row r="132" spans="1:3" x14ac:dyDescent="0.2">
      <c r="A132" t="s">
        <v>182</v>
      </c>
      <c r="B132">
        <v>70</v>
      </c>
      <c r="C132">
        <v>1</v>
      </c>
    </row>
    <row r="133" spans="1:3" x14ac:dyDescent="0.2">
      <c r="A133" t="s">
        <v>183</v>
      </c>
      <c r="B133">
        <v>81</v>
      </c>
      <c r="C133">
        <v>1</v>
      </c>
    </row>
    <row r="134" spans="1:3" x14ac:dyDescent="0.2">
      <c r="A134" t="s">
        <v>184</v>
      </c>
      <c r="B134">
        <v>74</v>
      </c>
      <c r="C134">
        <v>1</v>
      </c>
    </row>
    <row r="135" spans="1:3" x14ac:dyDescent="0.2">
      <c r="A135" t="s">
        <v>185</v>
      </c>
      <c r="B135">
        <v>90</v>
      </c>
      <c r="C135">
        <v>1</v>
      </c>
    </row>
    <row r="136" spans="1:3" x14ac:dyDescent="0.2">
      <c r="A136" t="s">
        <v>186</v>
      </c>
      <c r="B136">
        <v>90</v>
      </c>
      <c r="C136">
        <v>1</v>
      </c>
    </row>
    <row r="137" spans="1:3" x14ac:dyDescent="0.2">
      <c r="A137" t="s">
        <v>187</v>
      </c>
      <c r="B137">
        <v>87</v>
      </c>
      <c r="C137">
        <v>1</v>
      </c>
    </row>
    <row r="138" spans="1:3" x14ac:dyDescent="0.2">
      <c r="A138" t="s">
        <v>188</v>
      </c>
      <c r="B138">
        <v>88</v>
      </c>
      <c r="C138">
        <v>1</v>
      </c>
    </row>
    <row r="139" spans="1:3" x14ac:dyDescent="0.2">
      <c r="A139" t="s">
        <v>189</v>
      </c>
      <c r="B139">
        <v>90</v>
      </c>
      <c r="C139">
        <v>1</v>
      </c>
    </row>
    <row r="140" spans="1:3" x14ac:dyDescent="0.2">
      <c r="A140" t="s">
        <v>190</v>
      </c>
      <c r="B140">
        <v>90</v>
      </c>
      <c r="C140">
        <v>1</v>
      </c>
    </row>
    <row r="141" spans="1:3" x14ac:dyDescent="0.2">
      <c r="A141" t="s">
        <v>191</v>
      </c>
      <c r="B141">
        <v>90</v>
      </c>
      <c r="C141">
        <v>1</v>
      </c>
    </row>
    <row r="142" spans="1:3" x14ac:dyDescent="0.2">
      <c r="A142" t="s">
        <v>192</v>
      </c>
      <c r="B142">
        <v>45</v>
      </c>
      <c r="C142">
        <v>1</v>
      </c>
    </row>
    <row r="143" spans="1:3" x14ac:dyDescent="0.2">
      <c r="A143" t="s">
        <v>193</v>
      </c>
      <c r="B143">
        <v>0</v>
      </c>
      <c r="C143">
        <v>0</v>
      </c>
    </row>
    <row r="144" spans="1:3" x14ac:dyDescent="0.2">
      <c r="A144" t="s">
        <v>194</v>
      </c>
      <c r="B144">
        <v>45</v>
      </c>
      <c r="C144">
        <v>1</v>
      </c>
    </row>
    <row r="145" spans="1:3" x14ac:dyDescent="0.2">
      <c r="A145" t="s">
        <v>195</v>
      </c>
      <c r="B145">
        <v>90</v>
      </c>
      <c r="C145">
        <v>1</v>
      </c>
    </row>
    <row r="146" spans="1:3" x14ac:dyDescent="0.2">
      <c r="A146" t="s">
        <v>196</v>
      </c>
      <c r="B146">
        <v>90</v>
      </c>
      <c r="C146">
        <v>1</v>
      </c>
    </row>
    <row r="147" spans="1:3" x14ac:dyDescent="0.2">
      <c r="A147" t="s">
        <v>197</v>
      </c>
      <c r="B147">
        <v>0</v>
      </c>
      <c r="C147">
        <v>0</v>
      </c>
    </row>
    <row r="148" spans="1:3" x14ac:dyDescent="0.2">
      <c r="A148" t="s">
        <v>198</v>
      </c>
      <c r="B148">
        <v>90</v>
      </c>
      <c r="C148">
        <v>1</v>
      </c>
    </row>
    <row r="149" spans="1:3" x14ac:dyDescent="0.2">
      <c r="A149" t="s">
        <v>199</v>
      </c>
      <c r="B149">
        <v>90</v>
      </c>
      <c r="C149">
        <v>1</v>
      </c>
    </row>
    <row r="150" spans="1:3" x14ac:dyDescent="0.2">
      <c r="A150" t="s">
        <v>201</v>
      </c>
      <c r="B150">
        <v>78</v>
      </c>
      <c r="C150">
        <v>1</v>
      </c>
    </row>
    <row r="151" spans="1:3" x14ac:dyDescent="0.2">
      <c r="A151" t="s">
        <v>202</v>
      </c>
      <c r="B151">
        <v>90</v>
      </c>
      <c r="C151">
        <v>1</v>
      </c>
    </row>
    <row r="152" spans="1:3" x14ac:dyDescent="0.2">
      <c r="A152" t="s">
        <v>203</v>
      </c>
      <c r="B152">
        <v>64</v>
      </c>
      <c r="C152">
        <v>1</v>
      </c>
    </row>
    <row r="153" spans="1:3" x14ac:dyDescent="0.2">
      <c r="A153" t="s">
        <v>204</v>
      </c>
      <c r="B153">
        <v>74</v>
      </c>
      <c r="C153">
        <v>1</v>
      </c>
    </row>
    <row r="154" spans="1:3" x14ac:dyDescent="0.2">
      <c r="A154" t="s">
        <v>206</v>
      </c>
      <c r="B154">
        <v>73</v>
      </c>
      <c r="C154">
        <v>1</v>
      </c>
    </row>
    <row r="155" spans="1:3" x14ac:dyDescent="0.2">
      <c r="A155" t="s">
        <v>207</v>
      </c>
      <c r="B155">
        <v>26</v>
      </c>
      <c r="C155">
        <v>1</v>
      </c>
    </row>
    <row r="156" spans="1:3" x14ac:dyDescent="0.2">
      <c r="A156" t="s">
        <v>208</v>
      </c>
      <c r="B156">
        <v>77</v>
      </c>
      <c r="C156">
        <v>1</v>
      </c>
    </row>
    <row r="157" spans="1:3" x14ac:dyDescent="0.2">
      <c r="A157" t="s">
        <v>209</v>
      </c>
      <c r="B157">
        <v>59</v>
      </c>
      <c r="C157">
        <v>1</v>
      </c>
    </row>
    <row r="158" spans="1:3" x14ac:dyDescent="0.2">
      <c r="A158" t="s">
        <v>210</v>
      </c>
      <c r="B158">
        <v>32</v>
      </c>
      <c r="C158">
        <v>1</v>
      </c>
    </row>
    <row r="159" spans="1:3" x14ac:dyDescent="0.2">
      <c r="A159" t="s">
        <v>211</v>
      </c>
      <c r="B159">
        <v>59</v>
      </c>
      <c r="C159">
        <v>1</v>
      </c>
    </row>
    <row r="160" spans="1:3" x14ac:dyDescent="0.2">
      <c r="A160" t="s">
        <v>212</v>
      </c>
      <c r="B160">
        <v>90</v>
      </c>
      <c r="C160">
        <v>1</v>
      </c>
    </row>
    <row r="161" spans="1:3" x14ac:dyDescent="0.2">
      <c r="A161" t="s">
        <v>213</v>
      </c>
      <c r="B161">
        <v>63</v>
      </c>
      <c r="C161">
        <v>1</v>
      </c>
    </row>
    <row r="162" spans="1:3" x14ac:dyDescent="0.2">
      <c r="A162" t="s">
        <v>214</v>
      </c>
      <c r="B162">
        <v>77</v>
      </c>
      <c r="C162">
        <v>1</v>
      </c>
    </row>
    <row r="163" spans="1:3" x14ac:dyDescent="0.2">
      <c r="A163" t="s">
        <v>215</v>
      </c>
      <c r="B163">
        <v>40</v>
      </c>
      <c r="C163">
        <v>1</v>
      </c>
    </row>
    <row r="164" spans="1:3" x14ac:dyDescent="0.2">
      <c r="A164" t="s">
        <v>216</v>
      </c>
      <c r="B164">
        <v>78</v>
      </c>
      <c r="C164">
        <v>1</v>
      </c>
    </row>
    <row r="165" spans="1:3" x14ac:dyDescent="0.2">
      <c r="A165" t="s">
        <v>217</v>
      </c>
      <c r="B165">
        <v>77</v>
      </c>
      <c r="C165">
        <v>1</v>
      </c>
    </row>
    <row r="166" spans="1:3" x14ac:dyDescent="0.2">
      <c r="A166" t="s">
        <v>218</v>
      </c>
      <c r="B166">
        <v>97</v>
      </c>
      <c r="C166">
        <v>1</v>
      </c>
    </row>
    <row r="167" spans="1:3" x14ac:dyDescent="0.2">
      <c r="A167" t="s">
        <v>220</v>
      </c>
      <c r="B167">
        <v>66</v>
      </c>
      <c r="C167">
        <v>1</v>
      </c>
    </row>
    <row r="168" spans="1:3" x14ac:dyDescent="0.2">
      <c r="A168" t="s">
        <v>221</v>
      </c>
      <c r="B168">
        <v>25</v>
      </c>
      <c r="C168">
        <v>1</v>
      </c>
    </row>
    <row r="169" spans="1:3" x14ac:dyDescent="0.2">
      <c r="A169" t="s">
        <v>222</v>
      </c>
      <c r="B169">
        <v>66</v>
      </c>
      <c r="C169">
        <v>1</v>
      </c>
    </row>
    <row r="170" spans="1:3" x14ac:dyDescent="0.2">
      <c r="A170" t="s">
        <v>223</v>
      </c>
      <c r="B170">
        <v>90</v>
      </c>
      <c r="C170">
        <v>1</v>
      </c>
    </row>
    <row r="171" spans="1:3" x14ac:dyDescent="0.2">
      <c r="A171" t="s">
        <v>224</v>
      </c>
      <c r="B171">
        <v>74</v>
      </c>
      <c r="C171">
        <v>1</v>
      </c>
    </row>
    <row r="172" spans="1:3" x14ac:dyDescent="0.2">
      <c r="A172" t="s">
        <v>225</v>
      </c>
      <c r="B172">
        <v>29</v>
      </c>
      <c r="C172">
        <v>1</v>
      </c>
    </row>
    <row r="173" spans="1:3" x14ac:dyDescent="0.2">
      <c r="A173" t="s">
        <v>226</v>
      </c>
      <c r="B173">
        <v>71</v>
      </c>
      <c r="C173">
        <v>1</v>
      </c>
    </row>
    <row r="174" spans="1:3" x14ac:dyDescent="0.2">
      <c r="A174" t="s">
        <v>227</v>
      </c>
      <c r="B174">
        <v>20</v>
      </c>
      <c r="C174">
        <v>1</v>
      </c>
    </row>
    <row r="175" spans="1:3" x14ac:dyDescent="0.2">
      <c r="A175" t="s">
        <v>228</v>
      </c>
      <c r="B175">
        <v>75</v>
      </c>
      <c r="C175">
        <v>1</v>
      </c>
    </row>
    <row r="176" spans="1:3" x14ac:dyDescent="0.2">
      <c r="A176" t="s">
        <v>229</v>
      </c>
      <c r="B176">
        <v>80</v>
      </c>
      <c r="C176">
        <v>1</v>
      </c>
    </row>
    <row r="177" spans="1:3" x14ac:dyDescent="0.2">
      <c r="A177" t="s">
        <v>230</v>
      </c>
      <c r="B177">
        <v>67</v>
      </c>
      <c r="C177">
        <v>1</v>
      </c>
    </row>
    <row r="178" spans="1:3" x14ac:dyDescent="0.2">
      <c r="A178" t="s">
        <v>231</v>
      </c>
      <c r="B178">
        <v>27</v>
      </c>
      <c r="C178">
        <v>1</v>
      </c>
    </row>
    <row r="179" spans="1:3" x14ac:dyDescent="0.2">
      <c r="A179" t="s">
        <v>232</v>
      </c>
      <c r="B179">
        <v>31</v>
      </c>
      <c r="C179">
        <v>1</v>
      </c>
    </row>
    <row r="180" spans="1:3" x14ac:dyDescent="0.2">
      <c r="A180" t="s">
        <v>233</v>
      </c>
      <c r="B180">
        <v>71</v>
      </c>
      <c r="C180">
        <v>1</v>
      </c>
    </row>
    <row r="181" spans="1:3" x14ac:dyDescent="0.2">
      <c r="A181" t="s">
        <v>234</v>
      </c>
      <c r="B181">
        <v>90</v>
      </c>
      <c r="C181">
        <v>1</v>
      </c>
    </row>
    <row r="182" spans="1:3" x14ac:dyDescent="0.2">
      <c r="A182" t="s">
        <v>235</v>
      </c>
      <c r="B182">
        <v>45</v>
      </c>
      <c r="C182">
        <v>1</v>
      </c>
    </row>
    <row r="183" spans="1:3" x14ac:dyDescent="0.2">
      <c r="A183" t="s">
        <v>236</v>
      </c>
      <c r="B183">
        <v>71</v>
      </c>
      <c r="C183">
        <v>1</v>
      </c>
    </row>
    <row r="184" spans="1:3" x14ac:dyDescent="0.2">
      <c r="A184" t="s">
        <v>237</v>
      </c>
      <c r="B184">
        <v>90</v>
      </c>
      <c r="C184">
        <v>1</v>
      </c>
    </row>
    <row r="185" spans="1:3" x14ac:dyDescent="0.2">
      <c r="A185" t="s">
        <v>238</v>
      </c>
      <c r="B185">
        <v>25</v>
      </c>
      <c r="C185">
        <v>1</v>
      </c>
    </row>
    <row r="186" spans="1:3" x14ac:dyDescent="0.2">
      <c r="A186" t="s">
        <v>239</v>
      </c>
      <c r="B186">
        <v>90</v>
      </c>
      <c r="C186">
        <v>1</v>
      </c>
    </row>
    <row r="187" spans="1:3" x14ac:dyDescent="0.2">
      <c r="A187" t="s">
        <v>240</v>
      </c>
      <c r="B187">
        <v>18</v>
      </c>
      <c r="C187">
        <v>1</v>
      </c>
    </row>
    <row r="188" spans="1:3" x14ac:dyDescent="0.2">
      <c r="A188" t="s">
        <v>241</v>
      </c>
      <c r="B188">
        <v>86</v>
      </c>
      <c r="C188">
        <v>1</v>
      </c>
    </row>
    <row r="189" spans="1:3" x14ac:dyDescent="0.2">
      <c r="A189" t="s">
        <v>243</v>
      </c>
      <c r="B189">
        <v>60</v>
      </c>
      <c r="C189">
        <v>1</v>
      </c>
    </row>
    <row r="190" spans="1:3" x14ac:dyDescent="0.2">
      <c r="A190" t="s">
        <v>244</v>
      </c>
      <c r="B190">
        <v>64</v>
      </c>
      <c r="C190">
        <v>1</v>
      </c>
    </row>
    <row r="191" spans="1:3" x14ac:dyDescent="0.2">
      <c r="A191" t="s">
        <v>245</v>
      </c>
      <c r="B191">
        <v>63</v>
      </c>
      <c r="C191">
        <v>1</v>
      </c>
    </row>
    <row r="192" spans="1:3" x14ac:dyDescent="0.2">
      <c r="A192" t="s">
        <v>246</v>
      </c>
      <c r="B192">
        <v>90</v>
      </c>
      <c r="C192">
        <v>1</v>
      </c>
    </row>
    <row r="193" spans="1:3" x14ac:dyDescent="0.2">
      <c r="A193" t="s">
        <v>247</v>
      </c>
      <c r="B193">
        <v>90</v>
      </c>
      <c r="C193">
        <v>1</v>
      </c>
    </row>
    <row r="194" spans="1:3" x14ac:dyDescent="0.2">
      <c r="A194" t="s">
        <v>248</v>
      </c>
      <c r="B194">
        <v>77</v>
      </c>
      <c r="C194">
        <v>1</v>
      </c>
    </row>
    <row r="195" spans="1:3" x14ac:dyDescent="0.2">
      <c r="A195" t="s">
        <v>249</v>
      </c>
      <c r="B195">
        <v>30</v>
      </c>
      <c r="C195">
        <v>1</v>
      </c>
    </row>
    <row r="196" spans="1:3" x14ac:dyDescent="0.2">
      <c r="A196" t="s">
        <v>250</v>
      </c>
      <c r="B196">
        <v>19</v>
      </c>
      <c r="C196">
        <v>1</v>
      </c>
    </row>
    <row r="197" spans="1:3" x14ac:dyDescent="0.2">
      <c r="A197" t="s">
        <v>251</v>
      </c>
      <c r="B197">
        <v>90</v>
      </c>
      <c r="C197">
        <v>1</v>
      </c>
    </row>
    <row r="198" spans="1:3" x14ac:dyDescent="0.2">
      <c r="A198" t="s">
        <v>252</v>
      </c>
      <c r="B198">
        <v>68</v>
      </c>
      <c r="C198">
        <v>1</v>
      </c>
    </row>
    <row r="199" spans="1:3" x14ac:dyDescent="0.2">
      <c r="A199" t="s">
        <v>253</v>
      </c>
      <c r="B199">
        <v>29</v>
      </c>
      <c r="C199">
        <v>1</v>
      </c>
    </row>
    <row r="200" spans="1:3" x14ac:dyDescent="0.2">
      <c r="A200" t="s">
        <v>254</v>
      </c>
      <c r="B200">
        <v>85</v>
      </c>
      <c r="C200">
        <v>1</v>
      </c>
    </row>
    <row r="201" spans="1:3" x14ac:dyDescent="0.2">
      <c r="A201" t="s">
        <v>255</v>
      </c>
      <c r="B201">
        <v>71</v>
      </c>
      <c r="C201">
        <v>1</v>
      </c>
    </row>
    <row r="202" spans="1:3" x14ac:dyDescent="0.2">
      <c r="A202" t="s">
        <v>257</v>
      </c>
      <c r="B202">
        <v>4</v>
      </c>
      <c r="C202">
        <v>1</v>
      </c>
    </row>
    <row r="203" spans="1:3" x14ac:dyDescent="0.2">
      <c r="A203" t="s">
        <v>258</v>
      </c>
      <c r="B203">
        <v>78</v>
      </c>
      <c r="C203">
        <v>1</v>
      </c>
    </row>
    <row r="204" spans="1:3" x14ac:dyDescent="0.2">
      <c r="A204" t="s">
        <v>259</v>
      </c>
      <c r="B204">
        <v>77</v>
      </c>
      <c r="C204">
        <v>1</v>
      </c>
    </row>
    <row r="205" spans="1:3" x14ac:dyDescent="0.2">
      <c r="A205" t="s">
        <v>260</v>
      </c>
      <c r="B205">
        <v>90</v>
      </c>
      <c r="C205">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3EFF2-E428-C447-B2C2-F02C1796DF22}">
  <dimension ref="A5:W101"/>
  <sheetViews>
    <sheetView zoomScale="67" zoomScaleNormal="239" workbookViewId="0">
      <selection activeCell="L108" sqref="L108"/>
    </sheetView>
  </sheetViews>
  <sheetFormatPr baseColWidth="10" defaultRowHeight="16" x14ac:dyDescent="0.2"/>
  <cols>
    <col min="1" max="1" width="14.1640625" bestFit="1" customWidth="1"/>
    <col min="2" max="2" width="12.5" bestFit="1" customWidth="1"/>
    <col min="3" max="3" width="14.1640625" bestFit="1" customWidth="1"/>
    <col min="4" max="4" width="13.1640625" bestFit="1" customWidth="1"/>
    <col min="5" max="5" width="16.1640625" bestFit="1" customWidth="1"/>
    <col min="6" max="6" width="4.6640625" bestFit="1" customWidth="1"/>
    <col min="7" max="8" width="14.1640625" bestFit="1" customWidth="1"/>
    <col min="9" max="9" width="12.83203125" bestFit="1" customWidth="1"/>
    <col min="10" max="10" width="13.6640625" bestFit="1" customWidth="1"/>
    <col min="11" max="11" width="14.1640625" bestFit="1" customWidth="1"/>
    <col min="12" max="12" width="12.5" bestFit="1" customWidth="1"/>
    <col min="13" max="13" width="12.33203125" bestFit="1" customWidth="1"/>
    <col min="14" max="14" width="12.6640625" bestFit="1" customWidth="1"/>
    <col min="15" max="15" width="13.5" bestFit="1" customWidth="1"/>
    <col min="16" max="16" width="14.1640625" bestFit="1" customWidth="1"/>
    <col min="17" max="17" width="9.6640625" bestFit="1" customWidth="1"/>
    <col min="18" max="18" width="10.5" bestFit="1" customWidth="1"/>
    <col min="19" max="19" width="12.33203125" bestFit="1" customWidth="1"/>
    <col min="20" max="20" width="14.1640625" bestFit="1" customWidth="1"/>
    <col min="21" max="21" width="12.83203125" bestFit="1" customWidth="1"/>
    <col min="22" max="23" width="13.6640625" bestFit="1" customWidth="1"/>
  </cols>
  <sheetData>
    <row r="5" spans="2:5" x14ac:dyDescent="0.2">
      <c r="B5" s="3"/>
      <c r="C5" s="4"/>
      <c r="D5" s="4"/>
      <c r="E5" s="4"/>
    </row>
    <row r="6" spans="2:5" x14ac:dyDescent="0.2">
      <c r="B6" s="3"/>
      <c r="C6" s="4"/>
      <c r="D6" s="4"/>
      <c r="E6" s="4"/>
    </row>
    <row r="7" spans="2:5" x14ac:dyDescent="0.2">
      <c r="B7" s="3"/>
      <c r="C7" s="4"/>
      <c r="D7" s="4"/>
      <c r="E7" s="4"/>
    </row>
    <row r="8" spans="2:5" x14ac:dyDescent="0.2">
      <c r="B8" s="3"/>
      <c r="C8" s="4"/>
      <c r="D8" s="4"/>
      <c r="E8" s="4"/>
    </row>
    <row r="17" spans="1:22" x14ac:dyDescent="0.2">
      <c r="E17" s="2" t="s">
        <v>262</v>
      </c>
    </row>
    <row r="18" spans="1:22" x14ac:dyDescent="0.2">
      <c r="D18" s="2" t="s">
        <v>270</v>
      </c>
      <c r="E18">
        <v>0</v>
      </c>
      <c r="F18">
        <v>1</v>
      </c>
      <c r="H18" s="2" t="s">
        <v>266</v>
      </c>
      <c r="I18" s="2" t="s">
        <v>265</v>
      </c>
      <c r="O18" s="2" t="s">
        <v>263</v>
      </c>
      <c r="P18" t="s">
        <v>267</v>
      </c>
      <c r="Q18" t="s">
        <v>268</v>
      </c>
      <c r="T18" s="2" t="s">
        <v>263</v>
      </c>
      <c r="U18" t="s">
        <v>272</v>
      </c>
      <c r="V18" t="s">
        <v>273</v>
      </c>
    </row>
    <row r="19" spans="1:22" x14ac:dyDescent="0.2">
      <c r="D19" t="s">
        <v>267</v>
      </c>
      <c r="E19" s="5">
        <v>2.0750000000000002</v>
      </c>
      <c r="F19" s="5">
        <v>1.9390243902439024</v>
      </c>
      <c r="H19" s="2" t="s">
        <v>263</v>
      </c>
      <c r="I19" t="s">
        <v>33</v>
      </c>
      <c r="J19" t="s">
        <v>19</v>
      </c>
      <c r="O19" s="3">
        <v>2018</v>
      </c>
      <c r="P19" s="5">
        <v>2</v>
      </c>
      <c r="Q19" s="5">
        <v>1.8857142857142857</v>
      </c>
      <c r="T19" s="3">
        <v>2018</v>
      </c>
      <c r="U19" s="5">
        <v>0.42857142857142855</v>
      </c>
      <c r="V19" s="5">
        <v>0.36857142857142861</v>
      </c>
    </row>
    <row r="20" spans="1:22" x14ac:dyDescent="0.2">
      <c r="D20" t="s">
        <v>271</v>
      </c>
      <c r="E20" s="5">
        <v>1.7749999999999999</v>
      </c>
      <c r="F20" s="5">
        <v>1.2560975609756098</v>
      </c>
      <c r="H20" s="3">
        <v>2021</v>
      </c>
      <c r="I20" s="7"/>
      <c r="J20" s="7"/>
      <c r="O20" s="3">
        <v>2019</v>
      </c>
      <c r="P20" s="5">
        <v>2.5277777777777777</v>
      </c>
      <c r="Q20" s="5">
        <v>2.3250000000000002</v>
      </c>
      <c r="T20" s="3">
        <v>2019</v>
      </c>
      <c r="U20" s="5">
        <v>1.3333333333333333</v>
      </c>
      <c r="V20" s="5">
        <v>1.1500000000000001</v>
      </c>
    </row>
    <row r="21" spans="1:22" x14ac:dyDescent="0.2">
      <c r="D21" t="s">
        <v>272</v>
      </c>
      <c r="E21" s="5">
        <v>0.3</v>
      </c>
      <c r="F21" s="5">
        <v>0.68292682926829273</v>
      </c>
      <c r="H21" s="10" t="s">
        <v>36</v>
      </c>
      <c r="I21" s="7">
        <v>0.35294117647058826</v>
      </c>
      <c r="J21" s="7">
        <v>0.17647058823529413</v>
      </c>
      <c r="O21" s="3">
        <v>2020</v>
      </c>
      <c r="P21" s="5">
        <v>2.0869565217391304</v>
      </c>
      <c r="Q21" s="5">
        <v>1.9826086956521736</v>
      </c>
      <c r="T21" s="3">
        <v>2020</v>
      </c>
      <c r="U21" s="5">
        <v>0.2608695652173913</v>
      </c>
      <c r="V21" s="5">
        <v>0.52173913043478248</v>
      </c>
    </row>
    <row r="22" spans="1:22" x14ac:dyDescent="0.2">
      <c r="D22" t="s">
        <v>268</v>
      </c>
      <c r="E22" s="5">
        <v>1.7224999999999997</v>
      </c>
      <c r="F22" s="5">
        <v>1.9603658536585367</v>
      </c>
      <c r="H22" s="6" t="s">
        <v>25</v>
      </c>
      <c r="I22" s="7">
        <v>0.17647058823529413</v>
      </c>
      <c r="J22" s="7">
        <v>0.58823529411764708</v>
      </c>
      <c r="O22" s="3">
        <v>2021</v>
      </c>
      <c r="P22" s="5">
        <v>1.5588235294117647</v>
      </c>
      <c r="Q22" s="5">
        <v>1.9352941176470588</v>
      </c>
      <c r="T22" s="3">
        <v>2021</v>
      </c>
      <c r="U22" s="5">
        <v>5.8823529411764705E-2</v>
      </c>
      <c r="V22" s="5">
        <v>0.61764705882352944</v>
      </c>
    </row>
    <row r="23" spans="1:22" x14ac:dyDescent="0.2">
      <c r="D23" t="s">
        <v>269</v>
      </c>
      <c r="E23" s="5">
        <v>1.5199999999999998</v>
      </c>
      <c r="F23" s="5">
        <v>1.1792682926829268</v>
      </c>
      <c r="H23" s="9" t="s">
        <v>20</v>
      </c>
      <c r="I23" s="8">
        <v>0.47058823529411764</v>
      </c>
      <c r="J23" s="8">
        <v>0.23529411764705882</v>
      </c>
      <c r="O23" s="3">
        <v>2022</v>
      </c>
      <c r="P23" s="5">
        <v>2.0270270270270272</v>
      </c>
      <c r="Q23" s="5">
        <v>1.8378378378378379</v>
      </c>
      <c r="T23" s="3">
        <v>2022</v>
      </c>
      <c r="U23" s="5">
        <v>0.86486486486486491</v>
      </c>
      <c r="V23" s="5">
        <v>0.83783783783783783</v>
      </c>
    </row>
    <row r="24" spans="1:22" x14ac:dyDescent="0.2">
      <c r="D24" t="s">
        <v>273</v>
      </c>
      <c r="E24" s="5">
        <v>0.20249999999999996</v>
      </c>
      <c r="F24" s="5">
        <v>0.78109756097560956</v>
      </c>
      <c r="L24" t="s">
        <v>282</v>
      </c>
      <c r="O24" s="3">
        <v>2023</v>
      </c>
      <c r="P24" s="5">
        <v>1.641025641025641</v>
      </c>
      <c r="Q24" s="5">
        <v>1.5717948717948715</v>
      </c>
      <c r="T24" s="3">
        <v>2023</v>
      </c>
      <c r="U24" s="5">
        <v>0.53846153846153844</v>
      </c>
      <c r="V24" s="5">
        <v>0.45897435897435895</v>
      </c>
    </row>
    <row r="25" spans="1:22" x14ac:dyDescent="0.2">
      <c r="O25" s="3" t="s">
        <v>264</v>
      </c>
      <c r="P25" s="5">
        <v>1.9656862745098038</v>
      </c>
      <c r="Q25" s="5">
        <v>1.9137254901960794</v>
      </c>
    </row>
    <row r="28" spans="1:22" x14ac:dyDescent="0.2">
      <c r="A28" s="2" t="s">
        <v>263</v>
      </c>
      <c r="B28" t="s">
        <v>267</v>
      </c>
      <c r="C28" t="s">
        <v>268</v>
      </c>
      <c r="D28" t="s">
        <v>271</v>
      </c>
      <c r="E28" t="s">
        <v>269</v>
      </c>
      <c r="F28" t="s">
        <v>273</v>
      </c>
      <c r="G28" t="s">
        <v>272</v>
      </c>
      <c r="H28" t="s">
        <v>280</v>
      </c>
    </row>
    <row r="29" spans="1:22" x14ac:dyDescent="0.2">
      <c r="A29" s="3">
        <v>2021</v>
      </c>
      <c r="B29" s="5"/>
      <c r="C29" s="5"/>
      <c r="D29" s="5"/>
      <c r="E29" s="5"/>
      <c r="F29" s="5"/>
      <c r="G29" s="5"/>
    </row>
    <row r="30" spans="1:22" x14ac:dyDescent="0.2">
      <c r="A30" s="6">
        <v>0</v>
      </c>
      <c r="B30" s="5">
        <v>1.7857142857142858</v>
      </c>
      <c r="C30" s="5">
        <v>1.7571428571428573</v>
      </c>
      <c r="D30" s="5">
        <v>1.5</v>
      </c>
      <c r="E30" s="5">
        <v>1.4357142857142855</v>
      </c>
      <c r="F30" s="5">
        <v>0.32142857142857145</v>
      </c>
      <c r="G30" s="5">
        <v>0.2857142857142857</v>
      </c>
      <c r="H30">
        <v>14</v>
      </c>
    </row>
    <row r="31" spans="1:22" x14ac:dyDescent="0.2">
      <c r="A31" s="6">
        <v>1</v>
      </c>
      <c r="B31" s="5">
        <v>1.4</v>
      </c>
      <c r="C31" s="5">
        <v>2.06</v>
      </c>
      <c r="D31" s="5">
        <v>1.5</v>
      </c>
      <c r="E31" s="5">
        <v>1.2350000000000001</v>
      </c>
      <c r="F31" s="5">
        <v>0.82500000000000018</v>
      </c>
      <c r="G31" s="5">
        <v>-0.1</v>
      </c>
      <c r="H31">
        <v>20</v>
      </c>
    </row>
    <row r="32" spans="1:22" x14ac:dyDescent="0.2">
      <c r="P32" s="2" t="s">
        <v>263</v>
      </c>
      <c r="Q32" t="s">
        <v>281</v>
      </c>
      <c r="R32" t="s">
        <v>279</v>
      </c>
    </row>
    <row r="33" spans="9:23" x14ac:dyDescent="0.2">
      <c r="P33" s="3">
        <v>2018</v>
      </c>
      <c r="Q33">
        <v>55</v>
      </c>
      <c r="R33">
        <v>53.1</v>
      </c>
    </row>
    <row r="34" spans="9:23" ht="63" x14ac:dyDescent="0.75">
      <c r="I34" s="11" t="s">
        <v>283</v>
      </c>
      <c r="P34" s="3">
        <v>2019</v>
      </c>
      <c r="Q34">
        <v>43</v>
      </c>
      <c r="R34">
        <v>42.300000000000011</v>
      </c>
    </row>
    <row r="35" spans="9:23" x14ac:dyDescent="0.2">
      <c r="P35" s="3">
        <v>2020</v>
      </c>
      <c r="Q35">
        <v>42</v>
      </c>
      <c r="R35">
        <v>33.599999999999994</v>
      </c>
    </row>
    <row r="36" spans="9:23" x14ac:dyDescent="0.2">
      <c r="P36" s="3">
        <v>2021</v>
      </c>
      <c r="Q36">
        <v>51</v>
      </c>
      <c r="R36">
        <v>44.800000000000004</v>
      </c>
    </row>
    <row r="37" spans="9:23" x14ac:dyDescent="0.2">
      <c r="P37" s="3">
        <v>2022</v>
      </c>
      <c r="Q37">
        <v>43</v>
      </c>
      <c r="R37">
        <v>37</v>
      </c>
    </row>
    <row r="38" spans="9:23" x14ac:dyDescent="0.2">
      <c r="P38" s="3">
        <v>2023</v>
      </c>
      <c r="Q38">
        <v>43</v>
      </c>
      <c r="R38">
        <v>43.4</v>
      </c>
    </row>
    <row r="39" spans="9:23" x14ac:dyDescent="0.2">
      <c r="P39" s="3" t="s">
        <v>264</v>
      </c>
      <c r="Q39">
        <v>277</v>
      </c>
      <c r="R39">
        <v>254.20000000000002</v>
      </c>
    </row>
    <row r="47" spans="9:23" x14ac:dyDescent="0.2">
      <c r="Q47" s="2" t="s">
        <v>263</v>
      </c>
      <c r="R47" t="s">
        <v>267</v>
      </c>
      <c r="S47" t="s">
        <v>268</v>
      </c>
      <c r="T47" t="s">
        <v>271</v>
      </c>
      <c r="U47" t="s">
        <v>269</v>
      </c>
      <c r="V47" t="s">
        <v>272</v>
      </c>
      <c r="W47" t="s">
        <v>273</v>
      </c>
    </row>
    <row r="48" spans="9:23" x14ac:dyDescent="0.2">
      <c r="Q48" s="3">
        <v>2019</v>
      </c>
      <c r="R48" s="5">
        <v>2.5277777777777777</v>
      </c>
      <c r="S48" s="5">
        <v>2.3250000000000006</v>
      </c>
      <c r="T48" s="5">
        <v>1.1944444444444444</v>
      </c>
      <c r="U48" s="5">
        <v>1.1749999999999998</v>
      </c>
      <c r="V48" s="5">
        <v>1.3333333333333333</v>
      </c>
      <c r="W48" s="5">
        <v>1.1500000000000001</v>
      </c>
    </row>
    <row r="51" spans="3:16" ht="63" x14ac:dyDescent="0.75">
      <c r="P51" s="12" t="s">
        <v>284</v>
      </c>
    </row>
    <row r="52" spans="3:16" x14ac:dyDescent="0.2">
      <c r="C52" s="2" t="s">
        <v>263</v>
      </c>
      <c r="D52" t="s">
        <v>267</v>
      </c>
      <c r="E52" t="s">
        <v>268</v>
      </c>
      <c r="H52" s="2" t="s">
        <v>263</v>
      </c>
      <c r="I52" t="s">
        <v>272</v>
      </c>
      <c r="J52" t="s">
        <v>273</v>
      </c>
    </row>
    <row r="53" spans="3:16" x14ac:dyDescent="0.2">
      <c r="C53" s="3">
        <v>2021</v>
      </c>
      <c r="D53" s="5"/>
      <c r="E53" s="5"/>
      <c r="H53" s="3">
        <v>2021</v>
      </c>
      <c r="I53" s="5"/>
      <c r="J53" s="5"/>
    </row>
    <row r="54" spans="3:16" x14ac:dyDescent="0.2">
      <c r="C54" s="6" t="s">
        <v>275</v>
      </c>
      <c r="D54" s="5">
        <v>1.3636363636363635</v>
      </c>
      <c r="E54" s="5">
        <v>2.1181818181818186</v>
      </c>
      <c r="H54" s="6" t="s">
        <v>275</v>
      </c>
      <c r="I54" s="5">
        <v>-9.0909090909090912E-2</v>
      </c>
      <c r="J54" s="5">
        <v>0.98181818181818192</v>
      </c>
    </row>
    <row r="55" spans="3:16" x14ac:dyDescent="0.2">
      <c r="C55" s="6" t="s">
        <v>276</v>
      </c>
      <c r="D55" s="5">
        <v>1.6842105263157894</v>
      </c>
      <c r="E55" s="5">
        <v>1.9210526315789473</v>
      </c>
      <c r="H55" s="6" t="s">
        <v>276</v>
      </c>
      <c r="I55" s="5">
        <v>0.31578947368421051</v>
      </c>
      <c r="J55" s="5">
        <v>0.54210526315789476</v>
      </c>
    </row>
    <row r="56" spans="3:16" x14ac:dyDescent="0.2">
      <c r="C56" s="6" t="s">
        <v>277</v>
      </c>
      <c r="D56" s="5">
        <v>1.5</v>
      </c>
      <c r="E56" s="5">
        <v>1.5</v>
      </c>
      <c r="H56" s="6" t="s">
        <v>277</v>
      </c>
      <c r="I56" s="5">
        <v>-0.75</v>
      </c>
      <c r="J56" s="5">
        <v>-2.5000000000000022E-2</v>
      </c>
    </row>
    <row r="69" spans="6:18" ht="63" x14ac:dyDescent="0.75">
      <c r="F69" s="12" t="s">
        <v>285</v>
      </c>
    </row>
    <row r="71" spans="6:18" x14ac:dyDescent="0.2">
      <c r="K71" s="2" t="s">
        <v>263</v>
      </c>
      <c r="L71" t="s">
        <v>267</v>
      </c>
      <c r="M71" t="s">
        <v>268</v>
      </c>
      <c r="N71" t="s">
        <v>271</v>
      </c>
      <c r="O71" t="s">
        <v>269</v>
      </c>
      <c r="P71" t="s">
        <v>272</v>
      </c>
      <c r="Q71" t="s">
        <v>273</v>
      </c>
      <c r="R71" t="s">
        <v>266</v>
      </c>
    </row>
    <row r="72" spans="6:18" x14ac:dyDescent="0.2">
      <c r="K72" s="3">
        <v>2022</v>
      </c>
      <c r="L72" s="5"/>
      <c r="M72" s="5"/>
      <c r="N72" s="5"/>
      <c r="O72" s="5"/>
      <c r="P72" s="5"/>
      <c r="Q72" s="5"/>
    </row>
    <row r="73" spans="6:18" x14ac:dyDescent="0.2">
      <c r="K73" s="6" t="s">
        <v>275</v>
      </c>
      <c r="L73" s="5">
        <v>2.2400000000000002</v>
      </c>
      <c r="M73" s="5">
        <v>1.724</v>
      </c>
      <c r="N73" s="5">
        <v>1.1599999999999999</v>
      </c>
      <c r="O73" s="5">
        <v>1.0079999999999998</v>
      </c>
      <c r="P73" s="5">
        <v>1.08</v>
      </c>
      <c r="Q73" s="5">
        <v>0.71599999999999997</v>
      </c>
      <c r="R73">
        <v>25</v>
      </c>
    </row>
    <row r="74" spans="6:18" x14ac:dyDescent="0.2">
      <c r="K74" s="6" t="s">
        <v>276</v>
      </c>
      <c r="L74" s="5">
        <v>1.3333333333333333</v>
      </c>
      <c r="M74" s="5">
        <v>1.2666666666666668</v>
      </c>
      <c r="N74" s="5">
        <v>1.6666666666666667</v>
      </c>
      <c r="O74" s="5">
        <v>1.2333333333333334</v>
      </c>
      <c r="P74" s="5">
        <v>-0.33333333333333331</v>
      </c>
      <c r="Q74" s="5">
        <v>3.3333333333333402E-2</v>
      </c>
      <c r="R74">
        <v>3</v>
      </c>
    </row>
    <row r="75" spans="6:18" x14ac:dyDescent="0.2">
      <c r="K75" s="6" t="s">
        <v>277</v>
      </c>
      <c r="L75" s="5">
        <v>1.6666666666666667</v>
      </c>
      <c r="M75" s="5">
        <v>2.3444444444444441</v>
      </c>
      <c r="N75" s="5">
        <v>1</v>
      </c>
      <c r="O75" s="5">
        <v>0.89999999999999991</v>
      </c>
      <c r="P75" s="5">
        <v>0.66666666666666663</v>
      </c>
      <c r="Q75" s="5">
        <v>1.4444444444444444</v>
      </c>
      <c r="R75">
        <v>9</v>
      </c>
    </row>
    <row r="94" spans="7:9" x14ac:dyDescent="0.2">
      <c r="G94" s="2" t="s">
        <v>263</v>
      </c>
      <c r="H94" t="s">
        <v>272</v>
      </c>
      <c r="I94" t="s">
        <v>273</v>
      </c>
    </row>
    <row r="95" spans="7:9" x14ac:dyDescent="0.2">
      <c r="G95" s="3">
        <v>2018</v>
      </c>
      <c r="H95" s="5">
        <v>0.42857142857142855</v>
      </c>
      <c r="I95" s="5">
        <v>0.36857142857142861</v>
      </c>
    </row>
    <row r="96" spans="7:9" x14ac:dyDescent="0.2">
      <c r="G96" s="3">
        <v>2019</v>
      </c>
      <c r="H96" s="5">
        <v>1.3333333333333333</v>
      </c>
      <c r="I96" s="5">
        <v>1.1500000000000001</v>
      </c>
    </row>
    <row r="97" spans="7:9" x14ac:dyDescent="0.2">
      <c r="G97" s="3">
        <v>2020</v>
      </c>
      <c r="H97" s="5">
        <v>0.2608695652173913</v>
      </c>
      <c r="I97" s="5">
        <v>0.52173913043478248</v>
      </c>
    </row>
    <row r="98" spans="7:9" x14ac:dyDescent="0.2">
      <c r="G98" s="3">
        <v>2021</v>
      </c>
      <c r="H98" s="5">
        <v>5.8823529411764705E-2</v>
      </c>
      <c r="I98" s="5">
        <v>0.61764705882352944</v>
      </c>
    </row>
    <row r="99" spans="7:9" x14ac:dyDescent="0.2">
      <c r="G99" s="3">
        <v>2022</v>
      </c>
      <c r="H99" s="5">
        <v>0.86486486486486491</v>
      </c>
      <c r="I99" s="5">
        <v>0.83783783783783783</v>
      </c>
    </row>
    <row r="100" spans="7:9" x14ac:dyDescent="0.2">
      <c r="G100" s="3">
        <v>2023</v>
      </c>
      <c r="H100" s="5">
        <v>0.53846153846153844</v>
      </c>
      <c r="I100" s="5">
        <v>0.45897435897435895</v>
      </c>
    </row>
    <row r="101" spans="7:9" x14ac:dyDescent="0.2">
      <c r="G101" s="3" t="s">
        <v>264</v>
      </c>
      <c r="H101" s="5">
        <v>0.60784313725490191</v>
      </c>
      <c r="I101" s="5">
        <v>0.66764705882352893</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B54D6-AC75-DC43-A2A3-5A42CDD3057B}">
  <dimension ref="A1:Y205"/>
  <sheetViews>
    <sheetView topLeftCell="C1" zoomScale="75" workbookViewId="0">
      <selection activeCell="AA32" sqref="AA32"/>
    </sheetView>
  </sheetViews>
  <sheetFormatPr baseColWidth="10" defaultRowHeight="16" x14ac:dyDescent="0.2"/>
  <cols>
    <col min="1" max="1" width="19.5" bestFit="1" customWidth="1"/>
    <col min="2" max="2" width="13.6640625" bestFit="1" customWidth="1"/>
    <col min="3" max="3" width="9.5" bestFit="1" customWidth="1"/>
    <col min="4" max="4" width="11" bestFit="1" customWidth="1"/>
    <col min="5" max="5" width="12.1640625" bestFit="1" customWidth="1"/>
    <col min="6" max="6" width="34.6640625" bestFit="1" customWidth="1"/>
    <col min="7" max="7" width="17.6640625" bestFit="1" customWidth="1"/>
    <col min="8" max="8" width="11.5" bestFit="1" customWidth="1"/>
    <col min="9" max="9" width="11.33203125" bestFit="1" customWidth="1"/>
    <col min="10" max="10" width="7.83203125" bestFit="1" customWidth="1"/>
    <col min="11" max="12" width="8" bestFit="1" customWidth="1"/>
    <col min="13" max="13" width="7.83203125" bestFit="1" customWidth="1"/>
    <col min="14" max="15" width="9" bestFit="1" customWidth="1"/>
    <col min="16" max="16" width="12.5" bestFit="1" customWidth="1"/>
    <col min="17" max="17" width="24.5" bestFit="1" customWidth="1"/>
    <col min="18" max="18" width="17.6640625" bestFit="1" customWidth="1"/>
    <col min="19" max="19" width="24.5" bestFit="1" customWidth="1"/>
    <col min="20" max="20" width="18" bestFit="1" customWidth="1"/>
    <col min="21" max="21" width="16.5" bestFit="1" customWidth="1"/>
    <col min="22" max="22" width="21.1640625" bestFit="1" customWidth="1"/>
    <col min="23" max="23" width="16.83203125" bestFit="1" customWidth="1"/>
    <col min="24" max="24" width="11.83203125" bestFit="1" customWidth="1"/>
    <col min="25" max="25" width="12.5" bestFit="1" customWidth="1"/>
  </cols>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290</v>
      </c>
      <c r="Q1" t="s">
        <v>261</v>
      </c>
      <c r="R1" t="s">
        <v>262</v>
      </c>
      <c r="S1" t="s">
        <v>274</v>
      </c>
      <c r="T1" t="s">
        <v>278</v>
      </c>
      <c r="U1" t="s">
        <v>286</v>
      </c>
      <c r="V1" t="s">
        <v>287</v>
      </c>
      <c r="W1" t="s">
        <v>289</v>
      </c>
      <c r="X1" t="s">
        <v>300</v>
      </c>
      <c r="Y1" t="s">
        <v>301</v>
      </c>
    </row>
    <row r="2" spans="1:25" x14ac:dyDescent="0.2">
      <c r="A2" t="s">
        <v>15</v>
      </c>
      <c r="B2">
        <v>1</v>
      </c>
      <c r="C2" s="1">
        <v>43163</v>
      </c>
      <c r="D2" t="s">
        <v>16</v>
      </c>
      <c r="E2">
        <v>2018</v>
      </c>
      <c r="F2" t="s">
        <v>17</v>
      </c>
      <c r="G2" t="s">
        <v>18</v>
      </c>
      <c r="H2" t="s">
        <v>19</v>
      </c>
      <c r="I2" t="s">
        <v>20</v>
      </c>
      <c r="J2">
        <v>1</v>
      </c>
      <c r="K2">
        <v>0</v>
      </c>
      <c r="L2">
        <v>1</v>
      </c>
      <c r="M2">
        <v>0.3</v>
      </c>
      <c r="N2">
        <v>1.9</v>
      </c>
      <c r="O2">
        <v>-1.5999999999999999</v>
      </c>
      <c r="P2">
        <v>-2.5999999999999996</v>
      </c>
      <c r="Q2">
        <v>90</v>
      </c>
      <c r="R2">
        <v>1</v>
      </c>
      <c r="S2" t="s">
        <v>275</v>
      </c>
      <c r="T2">
        <v>1</v>
      </c>
      <c r="U2" t="s">
        <v>292</v>
      </c>
      <c r="V2">
        <v>0</v>
      </c>
      <c r="W2">
        <v>3150</v>
      </c>
      <c r="X2">
        <v>0.7</v>
      </c>
      <c r="Y2">
        <v>-1.9</v>
      </c>
    </row>
    <row r="3" spans="1:25" x14ac:dyDescent="0.2">
      <c r="A3" t="s">
        <v>21</v>
      </c>
      <c r="B3">
        <v>2</v>
      </c>
      <c r="C3" s="1">
        <v>43169</v>
      </c>
      <c r="D3" t="s">
        <v>16</v>
      </c>
      <c r="E3">
        <v>2018</v>
      </c>
      <c r="F3" t="s">
        <v>17</v>
      </c>
      <c r="G3" t="s">
        <v>22</v>
      </c>
      <c r="H3" t="s">
        <v>19</v>
      </c>
      <c r="I3" t="s">
        <v>20</v>
      </c>
      <c r="J3">
        <v>5</v>
      </c>
      <c r="K3">
        <v>1</v>
      </c>
      <c r="L3">
        <v>4</v>
      </c>
      <c r="M3">
        <v>5.0999999999999996</v>
      </c>
      <c r="N3">
        <v>2.2000000000000002</v>
      </c>
      <c r="O3">
        <v>2.8999999999999995</v>
      </c>
      <c r="P3">
        <v>-1.1000000000000005</v>
      </c>
      <c r="Q3">
        <v>90</v>
      </c>
      <c r="R3">
        <v>1</v>
      </c>
      <c r="S3" t="s">
        <v>275</v>
      </c>
      <c r="T3">
        <v>1</v>
      </c>
      <c r="U3" t="s">
        <v>292</v>
      </c>
      <c r="V3">
        <v>0</v>
      </c>
      <c r="W3">
        <v>3150</v>
      </c>
      <c r="X3">
        <v>-9.9999999999999645E-2</v>
      </c>
      <c r="Y3">
        <v>-1.2000000000000002</v>
      </c>
    </row>
    <row r="4" spans="1:25" x14ac:dyDescent="0.2">
      <c r="A4" t="s">
        <v>23</v>
      </c>
      <c r="B4">
        <v>3</v>
      </c>
      <c r="C4" s="1">
        <v>43190</v>
      </c>
      <c r="D4" t="s">
        <v>16</v>
      </c>
      <c r="E4">
        <v>2018</v>
      </c>
      <c r="F4" t="s">
        <v>17</v>
      </c>
      <c r="G4" t="s">
        <v>24</v>
      </c>
      <c r="H4" t="s">
        <v>19</v>
      </c>
      <c r="I4" t="s">
        <v>25</v>
      </c>
      <c r="J4">
        <v>3</v>
      </c>
      <c r="K4">
        <v>4</v>
      </c>
      <c r="L4">
        <v>-1</v>
      </c>
      <c r="M4">
        <v>1.1000000000000001</v>
      </c>
      <c r="N4">
        <v>1.5</v>
      </c>
      <c r="O4">
        <v>-0.39999999999999991</v>
      </c>
      <c r="P4">
        <v>0.60000000000000009</v>
      </c>
      <c r="Q4">
        <v>90</v>
      </c>
      <c r="R4">
        <v>1</v>
      </c>
      <c r="S4" t="s">
        <v>275</v>
      </c>
      <c r="T4">
        <v>0</v>
      </c>
      <c r="U4" t="s">
        <v>292</v>
      </c>
      <c r="V4">
        <v>0</v>
      </c>
      <c r="W4">
        <v>3150</v>
      </c>
      <c r="X4">
        <v>1.9</v>
      </c>
      <c r="Y4">
        <v>2.5</v>
      </c>
    </row>
    <row r="5" spans="1:25" x14ac:dyDescent="0.2">
      <c r="A5" t="s">
        <v>26</v>
      </c>
      <c r="B5">
        <v>4</v>
      </c>
      <c r="C5" s="1">
        <v>43197</v>
      </c>
      <c r="D5" t="s">
        <v>16</v>
      </c>
      <c r="E5">
        <v>2018</v>
      </c>
      <c r="F5" t="s">
        <v>17</v>
      </c>
      <c r="G5" t="s">
        <v>27</v>
      </c>
      <c r="H5" t="s">
        <v>19</v>
      </c>
      <c r="I5" t="s">
        <v>25</v>
      </c>
      <c r="J5">
        <v>0</v>
      </c>
      <c r="K5">
        <v>5</v>
      </c>
      <c r="L5">
        <v>-5</v>
      </c>
      <c r="M5">
        <v>0.8</v>
      </c>
      <c r="N5">
        <v>3.3</v>
      </c>
      <c r="O5">
        <v>-2.5</v>
      </c>
      <c r="P5">
        <v>2.5</v>
      </c>
      <c r="Q5">
        <v>90</v>
      </c>
      <c r="R5">
        <v>1</v>
      </c>
      <c r="S5" t="s">
        <v>275</v>
      </c>
      <c r="T5">
        <v>0</v>
      </c>
      <c r="U5" t="s">
        <v>292</v>
      </c>
      <c r="V5">
        <v>0</v>
      </c>
      <c r="W5">
        <v>3150</v>
      </c>
      <c r="X5">
        <v>-0.8</v>
      </c>
      <c r="Y5">
        <v>1.7000000000000002</v>
      </c>
    </row>
    <row r="6" spans="1:25" x14ac:dyDescent="0.2">
      <c r="A6" t="s">
        <v>28</v>
      </c>
      <c r="B6">
        <v>5</v>
      </c>
      <c r="C6" s="1">
        <v>43203</v>
      </c>
      <c r="D6" t="s">
        <v>16</v>
      </c>
      <c r="E6">
        <v>2018</v>
      </c>
      <c r="F6" t="s">
        <v>17</v>
      </c>
      <c r="G6" t="s">
        <v>29</v>
      </c>
      <c r="H6" t="s">
        <v>19</v>
      </c>
      <c r="I6" t="s">
        <v>20</v>
      </c>
      <c r="J6">
        <v>2</v>
      </c>
      <c r="K6">
        <v>0</v>
      </c>
      <c r="L6">
        <v>2</v>
      </c>
      <c r="M6">
        <v>1.7</v>
      </c>
      <c r="N6">
        <v>0.3</v>
      </c>
      <c r="O6">
        <v>1.4</v>
      </c>
      <c r="P6">
        <v>-0.60000000000000009</v>
      </c>
      <c r="Q6">
        <v>90</v>
      </c>
      <c r="R6">
        <v>1</v>
      </c>
      <c r="S6" t="s">
        <v>275</v>
      </c>
      <c r="T6">
        <v>1</v>
      </c>
      <c r="U6" t="s">
        <v>292</v>
      </c>
      <c r="V6">
        <v>0</v>
      </c>
      <c r="W6">
        <v>3150</v>
      </c>
      <c r="X6">
        <v>0.30000000000000004</v>
      </c>
      <c r="Y6">
        <v>-0.3</v>
      </c>
    </row>
    <row r="7" spans="1:25" x14ac:dyDescent="0.2">
      <c r="A7" t="s">
        <v>30</v>
      </c>
      <c r="B7">
        <v>6</v>
      </c>
      <c r="C7" s="1">
        <v>43211</v>
      </c>
      <c r="D7" t="s">
        <v>16</v>
      </c>
      <c r="E7">
        <v>2018</v>
      </c>
      <c r="F7" t="s">
        <v>17</v>
      </c>
      <c r="G7" t="s">
        <v>31</v>
      </c>
      <c r="H7" t="s">
        <v>19</v>
      </c>
      <c r="I7" t="s">
        <v>20</v>
      </c>
      <c r="J7">
        <v>5</v>
      </c>
      <c r="K7">
        <v>3</v>
      </c>
      <c r="L7">
        <v>2</v>
      </c>
      <c r="M7">
        <v>4.2</v>
      </c>
      <c r="N7">
        <v>1.8</v>
      </c>
      <c r="O7">
        <v>2.4000000000000004</v>
      </c>
      <c r="P7">
        <v>0.40000000000000036</v>
      </c>
      <c r="Q7">
        <v>90</v>
      </c>
      <c r="R7">
        <v>1</v>
      </c>
      <c r="S7" t="s">
        <v>275</v>
      </c>
      <c r="T7">
        <v>1</v>
      </c>
      <c r="U7" t="s">
        <v>292</v>
      </c>
      <c r="V7">
        <v>0</v>
      </c>
      <c r="W7">
        <v>3150</v>
      </c>
      <c r="X7">
        <v>0.79999999999999982</v>
      </c>
      <c r="Y7">
        <v>1.2</v>
      </c>
    </row>
    <row r="8" spans="1:25" x14ac:dyDescent="0.2">
      <c r="A8" t="s">
        <v>32</v>
      </c>
      <c r="B8">
        <v>7</v>
      </c>
      <c r="C8" s="1">
        <v>43219</v>
      </c>
      <c r="D8" t="s">
        <v>16</v>
      </c>
      <c r="E8">
        <v>2018</v>
      </c>
      <c r="F8" t="s">
        <v>17</v>
      </c>
      <c r="G8" t="s">
        <v>18</v>
      </c>
      <c r="H8" t="s">
        <v>33</v>
      </c>
      <c r="I8" t="s">
        <v>20</v>
      </c>
      <c r="J8">
        <v>1</v>
      </c>
      <c r="K8">
        <v>0</v>
      </c>
      <c r="L8">
        <v>1</v>
      </c>
      <c r="M8">
        <v>2.2000000000000002</v>
      </c>
      <c r="N8">
        <v>1.5</v>
      </c>
      <c r="O8">
        <v>0.70000000000000018</v>
      </c>
      <c r="P8">
        <v>-0.29999999999999982</v>
      </c>
      <c r="Q8">
        <v>90</v>
      </c>
      <c r="R8">
        <v>1</v>
      </c>
      <c r="S8" t="s">
        <v>275</v>
      </c>
      <c r="T8">
        <v>1</v>
      </c>
      <c r="U8" t="s">
        <v>292</v>
      </c>
      <c r="V8">
        <v>0</v>
      </c>
      <c r="W8">
        <v>3150</v>
      </c>
      <c r="X8">
        <v>-1.2000000000000002</v>
      </c>
      <c r="Y8">
        <v>-1.5</v>
      </c>
    </row>
    <row r="9" spans="1:25" x14ac:dyDescent="0.2">
      <c r="A9" t="s">
        <v>34</v>
      </c>
      <c r="B9">
        <v>8</v>
      </c>
      <c r="C9" s="1">
        <v>43225</v>
      </c>
      <c r="D9" t="s">
        <v>16</v>
      </c>
      <c r="E9">
        <v>2018</v>
      </c>
      <c r="F9" t="s">
        <v>17</v>
      </c>
      <c r="G9" t="s">
        <v>35</v>
      </c>
      <c r="H9" t="s">
        <v>33</v>
      </c>
      <c r="I9" t="s">
        <v>36</v>
      </c>
      <c r="J9">
        <v>1</v>
      </c>
      <c r="K9">
        <v>1</v>
      </c>
      <c r="L9">
        <v>0</v>
      </c>
      <c r="M9">
        <v>2</v>
      </c>
      <c r="N9">
        <v>0.9</v>
      </c>
      <c r="O9">
        <v>1.1000000000000001</v>
      </c>
      <c r="P9">
        <v>1.1000000000000001</v>
      </c>
      <c r="Q9">
        <v>90</v>
      </c>
      <c r="R9">
        <v>1</v>
      </c>
      <c r="S9" t="s">
        <v>275</v>
      </c>
      <c r="T9">
        <v>0</v>
      </c>
      <c r="U9" t="s">
        <v>292</v>
      </c>
      <c r="V9">
        <v>0</v>
      </c>
      <c r="W9">
        <v>3150</v>
      </c>
      <c r="X9">
        <v>-1</v>
      </c>
      <c r="Y9">
        <v>9.9999999999999978E-2</v>
      </c>
    </row>
    <row r="10" spans="1:25" x14ac:dyDescent="0.2">
      <c r="A10" t="s">
        <v>37</v>
      </c>
      <c r="B10">
        <v>9</v>
      </c>
      <c r="C10" s="1">
        <v>43229</v>
      </c>
      <c r="D10" t="s">
        <v>16</v>
      </c>
      <c r="E10">
        <v>2018</v>
      </c>
      <c r="F10" t="s">
        <v>17</v>
      </c>
      <c r="G10" t="s">
        <v>38</v>
      </c>
      <c r="H10" t="s">
        <v>33</v>
      </c>
      <c r="I10" t="s">
        <v>20</v>
      </c>
      <c r="J10">
        <v>2</v>
      </c>
      <c r="K10">
        <v>0</v>
      </c>
      <c r="L10">
        <v>2</v>
      </c>
      <c r="M10">
        <v>2.4</v>
      </c>
      <c r="N10">
        <v>0.6</v>
      </c>
      <c r="O10">
        <v>1.7999999999999998</v>
      </c>
      <c r="P10">
        <v>-0.20000000000000018</v>
      </c>
      <c r="Q10">
        <v>90</v>
      </c>
      <c r="R10">
        <v>1</v>
      </c>
      <c r="S10" t="s">
        <v>275</v>
      </c>
      <c r="T10">
        <v>1</v>
      </c>
      <c r="U10" t="s">
        <v>292</v>
      </c>
      <c r="V10">
        <v>0</v>
      </c>
      <c r="W10">
        <v>3150</v>
      </c>
      <c r="X10">
        <v>-0.39999999999999991</v>
      </c>
      <c r="Y10">
        <v>-0.6</v>
      </c>
    </row>
    <row r="11" spans="1:25" x14ac:dyDescent="0.2">
      <c r="A11" t="s">
        <v>39</v>
      </c>
      <c r="B11">
        <v>10</v>
      </c>
      <c r="C11" s="1">
        <v>43233</v>
      </c>
      <c r="D11" t="s">
        <v>16</v>
      </c>
      <c r="E11">
        <v>2018</v>
      </c>
      <c r="F11" t="s">
        <v>17</v>
      </c>
      <c r="G11" t="s">
        <v>40</v>
      </c>
      <c r="H11" t="s">
        <v>33</v>
      </c>
      <c r="I11" t="s">
        <v>36</v>
      </c>
      <c r="J11">
        <v>2</v>
      </c>
      <c r="K11">
        <v>2</v>
      </c>
      <c r="L11">
        <v>0</v>
      </c>
      <c r="M11">
        <v>1.4</v>
      </c>
      <c r="N11">
        <v>2.2000000000000002</v>
      </c>
      <c r="O11">
        <v>-0.80000000000000027</v>
      </c>
      <c r="P11">
        <v>-0.80000000000000027</v>
      </c>
      <c r="Q11">
        <v>90</v>
      </c>
      <c r="R11">
        <v>1</v>
      </c>
      <c r="S11" t="s">
        <v>275</v>
      </c>
      <c r="T11">
        <v>0</v>
      </c>
      <c r="U11" t="s">
        <v>292</v>
      </c>
      <c r="V11">
        <v>0</v>
      </c>
      <c r="W11">
        <v>3150</v>
      </c>
      <c r="X11">
        <v>0.60000000000000009</v>
      </c>
      <c r="Y11">
        <v>-0.20000000000000018</v>
      </c>
    </row>
    <row r="12" spans="1:25" x14ac:dyDescent="0.2">
      <c r="A12" t="s">
        <v>41</v>
      </c>
      <c r="B12">
        <v>11</v>
      </c>
      <c r="C12" s="1">
        <v>43239</v>
      </c>
      <c r="D12" t="s">
        <v>16</v>
      </c>
      <c r="E12">
        <v>2018</v>
      </c>
      <c r="F12" t="s">
        <v>17</v>
      </c>
      <c r="G12" t="s">
        <v>42</v>
      </c>
      <c r="H12" t="s">
        <v>19</v>
      </c>
      <c r="I12" t="s">
        <v>25</v>
      </c>
      <c r="J12">
        <v>1</v>
      </c>
      <c r="K12">
        <v>2</v>
      </c>
      <c r="L12">
        <v>-1</v>
      </c>
      <c r="M12">
        <v>1.4</v>
      </c>
      <c r="N12">
        <v>2.5</v>
      </c>
      <c r="O12">
        <v>-1.1000000000000001</v>
      </c>
      <c r="P12">
        <v>-0.10000000000000009</v>
      </c>
      <c r="Q12">
        <v>90</v>
      </c>
      <c r="R12">
        <v>1</v>
      </c>
      <c r="S12" t="s">
        <v>275</v>
      </c>
      <c r="T12">
        <v>0</v>
      </c>
      <c r="U12" t="s">
        <v>292</v>
      </c>
      <c r="V12">
        <v>0</v>
      </c>
      <c r="W12">
        <v>3150</v>
      </c>
      <c r="X12">
        <v>-0.39999999999999991</v>
      </c>
      <c r="Y12">
        <v>-0.5</v>
      </c>
    </row>
    <row r="13" spans="1:25" x14ac:dyDescent="0.2">
      <c r="A13" t="s">
        <v>43</v>
      </c>
      <c r="B13">
        <v>12</v>
      </c>
      <c r="C13" s="1">
        <v>43246</v>
      </c>
      <c r="D13" t="s">
        <v>16</v>
      </c>
      <c r="E13">
        <v>2018</v>
      </c>
      <c r="F13" t="s">
        <v>17</v>
      </c>
      <c r="G13" t="s">
        <v>44</v>
      </c>
      <c r="H13" t="s">
        <v>33</v>
      </c>
      <c r="I13" t="s">
        <v>36</v>
      </c>
      <c r="J13">
        <v>1</v>
      </c>
      <c r="K13">
        <v>1</v>
      </c>
      <c r="L13">
        <v>0</v>
      </c>
      <c r="M13">
        <v>2</v>
      </c>
      <c r="N13">
        <v>1.5</v>
      </c>
      <c r="O13">
        <v>0.5</v>
      </c>
      <c r="P13">
        <v>0.5</v>
      </c>
      <c r="Q13">
        <v>90</v>
      </c>
      <c r="R13">
        <v>1</v>
      </c>
      <c r="S13" t="s">
        <v>275</v>
      </c>
      <c r="T13">
        <v>0</v>
      </c>
      <c r="U13" t="s">
        <v>292</v>
      </c>
      <c r="V13">
        <v>0</v>
      </c>
      <c r="W13">
        <v>3150</v>
      </c>
      <c r="X13">
        <v>-1</v>
      </c>
      <c r="Y13">
        <v>-0.5</v>
      </c>
    </row>
    <row r="14" spans="1:25" x14ac:dyDescent="0.2">
      <c r="A14" t="s">
        <v>45</v>
      </c>
      <c r="B14">
        <v>13</v>
      </c>
      <c r="C14" s="1">
        <v>43253</v>
      </c>
      <c r="D14" t="s">
        <v>16</v>
      </c>
      <c r="E14">
        <v>2018</v>
      </c>
      <c r="F14" t="s">
        <v>17</v>
      </c>
      <c r="G14" t="s">
        <v>35</v>
      </c>
      <c r="H14" t="s">
        <v>19</v>
      </c>
      <c r="I14" t="s">
        <v>25</v>
      </c>
      <c r="J14">
        <v>1</v>
      </c>
      <c r="K14">
        <v>2</v>
      </c>
      <c r="L14">
        <v>-1</v>
      </c>
      <c r="M14">
        <v>0.9</v>
      </c>
      <c r="N14">
        <v>2.5</v>
      </c>
      <c r="O14">
        <v>-1.6</v>
      </c>
      <c r="P14">
        <v>-0.60000000000000009</v>
      </c>
      <c r="Q14">
        <v>0</v>
      </c>
      <c r="R14">
        <v>0</v>
      </c>
      <c r="S14" t="s">
        <v>276</v>
      </c>
      <c r="T14">
        <v>0</v>
      </c>
      <c r="U14" t="s">
        <v>292</v>
      </c>
      <c r="V14">
        <v>0</v>
      </c>
      <c r="W14">
        <v>3150</v>
      </c>
      <c r="X14">
        <v>9.9999999999999978E-2</v>
      </c>
      <c r="Y14">
        <v>-0.5</v>
      </c>
    </row>
    <row r="15" spans="1:25" x14ac:dyDescent="0.2">
      <c r="A15" t="s">
        <v>46</v>
      </c>
      <c r="B15">
        <v>14</v>
      </c>
      <c r="C15" s="1">
        <v>43260</v>
      </c>
      <c r="D15" t="s">
        <v>16</v>
      </c>
      <c r="E15">
        <v>2018</v>
      </c>
      <c r="F15" t="s">
        <v>17</v>
      </c>
      <c r="G15" t="s">
        <v>47</v>
      </c>
      <c r="H15" t="s">
        <v>19</v>
      </c>
      <c r="I15" t="s">
        <v>20</v>
      </c>
      <c r="J15">
        <v>4</v>
      </c>
      <c r="K15">
        <v>3</v>
      </c>
      <c r="L15">
        <v>1</v>
      </c>
      <c r="M15">
        <v>2.2999999999999998</v>
      </c>
      <c r="N15">
        <v>1.1000000000000001</v>
      </c>
      <c r="O15">
        <v>1.1999999999999997</v>
      </c>
      <c r="P15">
        <v>0.19999999999999973</v>
      </c>
      <c r="Q15">
        <v>0</v>
      </c>
      <c r="R15">
        <v>0</v>
      </c>
      <c r="S15" t="s">
        <v>276</v>
      </c>
      <c r="T15">
        <v>1</v>
      </c>
      <c r="U15" t="s">
        <v>292</v>
      </c>
      <c r="V15">
        <v>0</v>
      </c>
      <c r="W15">
        <v>3150</v>
      </c>
      <c r="X15">
        <v>1.7000000000000002</v>
      </c>
      <c r="Y15">
        <v>1.9</v>
      </c>
    </row>
    <row r="16" spans="1:25" x14ac:dyDescent="0.2">
      <c r="A16" t="s">
        <v>48</v>
      </c>
      <c r="B16">
        <v>15</v>
      </c>
      <c r="C16" s="1">
        <v>43274</v>
      </c>
      <c r="D16" t="s">
        <v>16</v>
      </c>
      <c r="E16">
        <v>2018</v>
      </c>
      <c r="F16" t="s">
        <v>17</v>
      </c>
      <c r="G16" t="s">
        <v>49</v>
      </c>
      <c r="H16" t="s">
        <v>33</v>
      </c>
      <c r="I16" t="s">
        <v>20</v>
      </c>
      <c r="J16">
        <v>2</v>
      </c>
      <c r="K16">
        <v>0</v>
      </c>
      <c r="L16">
        <v>2</v>
      </c>
      <c r="M16">
        <v>1.8</v>
      </c>
      <c r="N16">
        <v>0.5</v>
      </c>
      <c r="O16">
        <v>1.3</v>
      </c>
      <c r="P16">
        <v>-0.7</v>
      </c>
      <c r="Q16">
        <v>0</v>
      </c>
      <c r="R16">
        <v>0</v>
      </c>
      <c r="S16" t="s">
        <v>276</v>
      </c>
      <c r="T16">
        <v>1</v>
      </c>
      <c r="U16" t="s">
        <v>292</v>
      </c>
      <c r="V16">
        <v>0</v>
      </c>
      <c r="W16">
        <v>3150</v>
      </c>
      <c r="X16">
        <v>0.19999999999999996</v>
      </c>
      <c r="Y16">
        <v>-0.5</v>
      </c>
    </row>
    <row r="17" spans="1:25" x14ac:dyDescent="0.2">
      <c r="A17" t="s">
        <v>50</v>
      </c>
      <c r="B17">
        <v>16</v>
      </c>
      <c r="C17" s="1">
        <v>43281</v>
      </c>
      <c r="D17" t="s">
        <v>16</v>
      </c>
      <c r="E17">
        <v>2018</v>
      </c>
      <c r="F17" t="s">
        <v>17</v>
      </c>
      <c r="G17" t="s">
        <v>51</v>
      </c>
      <c r="H17" t="s">
        <v>33</v>
      </c>
      <c r="I17" t="s">
        <v>20</v>
      </c>
      <c r="J17">
        <v>4</v>
      </c>
      <c r="K17">
        <v>1</v>
      </c>
      <c r="L17">
        <v>3</v>
      </c>
      <c r="M17">
        <v>2.6</v>
      </c>
      <c r="N17">
        <v>1.5</v>
      </c>
      <c r="O17">
        <v>1.1000000000000001</v>
      </c>
      <c r="P17">
        <v>-1.9</v>
      </c>
      <c r="Q17">
        <v>0</v>
      </c>
      <c r="R17">
        <v>0</v>
      </c>
      <c r="S17" t="s">
        <v>276</v>
      </c>
      <c r="T17">
        <v>1</v>
      </c>
      <c r="U17" t="s">
        <v>292</v>
      </c>
      <c r="V17">
        <v>0</v>
      </c>
      <c r="W17">
        <v>3150</v>
      </c>
      <c r="X17">
        <v>1.4</v>
      </c>
      <c r="Y17">
        <v>-0.5</v>
      </c>
    </row>
    <row r="18" spans="1:25" x14ac:dyDescent="0.2">
      <c r="A18" t="s">
        <v>52</v>
      </c>
      <c r="B18">
        <v>17</v>
      </c>
      <c r="C18" s="1">
        <v>43284</v>
      </c>
      <c r="D18" t="s">
        <v>16</v>
      </c>
      <c r="E18">
        <v>2018</v>
      </c>
      <c r="F18" t="s">
        <v>17</v>
      </c>
      <c r="G18" t="s">
        <v>53</v>
      </c>
      <c r="H18" t="s">
        <v>19</v>
      </c>
      <c r="I18" t="s">
        <v>36</v>
      </c>
      <c r="J18">
        <v>2</v>
      </c>
      <c r="K18">
        <v>2</v>
      </c>
      <c r="L18">
        <v>0</v>
      </c>
      <c r="M18">
        <v>1.1000000000000001</v>
      </c>
      <c r="N18">
        <v>1.3</v>
      </c>
      <c r="O18">
        <v>-0.19999999999999996</v>
      </c>
      <c r="P18">
        <v>-0.19999999999999996</v>
      </c>
      <c r="Q18">
        <v>0</v>
      </c>
      <c r="R18">
        <v>0</v>
      </c>
      <c r="S18" t="s">
        <v>276</v>
      </c>
      <c r="T18">
        <v>0</v>
      </c>
      <c r="U18" t="s">
        <v>292</v>
      </c>
      <c r="V18">
        <v>0</v>
      </c>
      <c r="W18">
        <v>3150</v>
      </c>
      <c r="X18">
        <v>0.89999999999999991</v>
      </c>
      <c r="Y18">
        <v>0.7</v>
      </c>
    </row>
    <row r="19" spans="1:25" x14ac:dyDescent="0.2">
      <c r="A19" t="s">
        <v>54</v>
      </c>
      <c r="B19">
        <v>18</v>
      </c>
      <c r="C19" s="1">
        <v>43288</v>
      </c>
      <c r="D19" t="s">
        <v>16</v>
      </c>
      <c r="E19">
        <v>2018</v>
      </c>
      <c r="F19" t="s">
        <v>17</v>
      </c>
      <c r="G19" t="s">
        <v>55</v>
      </c>
      <c r="H19" t="s">
        <v>33</v>
      </c>
      <c r="I19" t="s">
        <v>20</v>
      </c>
      <c r="J19">
        <v>4</v>
      </c>
      <c r="K19">
        <v>1</v>
      </c>
      <c r="L19">
        <v>3</v>
      </c>
      <c r="M19">
        <v>3.4</v>
      </c>
      <c r="N19">
        <v>1.6</v>
      </c>
      <c r="O19">
        <v>1.7999999999999998</v>
      </c>
      <c r="P19">
        <v>-1.2000000000000002</v>
      </c>
      <c r="Q19">
        <v>26</v>
      </c>
      <c r="R19">
        <v>1</v>
      </c>
      <c r="S19" t="s">
        <v>276</v>
      </c>
      <c r="T19">
        <v>1</v>
      </c>
      <c r="U19" t="s">
        <v>292</v>
      </c>
      <c r="V19">
        <v>0</v>
      </c>
      <c r="W19">
        <v>3150</v>
      </c>
      <c r="X19">
        <v>0.60000000000000009</v>
      </c>
      <c r="Y19">
        <v>-0.60000000000000009</v>
      </c>
    </row>
    <row r="20" spans="1:25" x14ac:dyDescent="0.2">
      <c r="A20" t="s">
        <v>56</v>
      </c>
      <c r="B20">
        <v>19</v>
      </c>
      <c r="C20" s="1">
        <v>43296</v>
      </c>
      <c r="D20" t="s">
        <v>16</v>
      </c>
      <c r="E20">
        <v>2018</v>
      </c>
      <c r="F20" t="s">
        <v>17</v>
      </c>
      <c r="G20" t="s">
        <v>42</v>
      </c>
      <c r="H20" t="s">
        <v>33</v>
      </c>
      <c r="I20" t="s">
        <v>36</v>
      </c>
      <c r="J20">
        <v>0</v>
      </c>
      <c r="K20">
        <v>0</v>
      </c>
      <c r="L20">
        <v>0</v>
      </c>
      <c r="M20">
        <v>1.2</v>
      </c>
      <c r="N20">
        <v>0.8</v>
      </c>
      <c r="O20">
        <v>0.39999999999999991</v>
      </c>
      <c r="P20">
        <v>0.39999999999999991</v>
      </c>
      <c r="Q20">
        <v>90</v>
      </c>
      <c r="R20">
        <v>1</v>
      </c>
      <c r="S20" t="s">
        <v>275</v>
      </c>
      <c r="T20">
        <v>0</v>
      </c>
      <c r="U20" t="s">
        <v>292</v>
      </c>
      <c r="V20">
        <v>0</v>
      </c>
      <c r="W20">
        <v>3150</v>
      </c>
      <c r="X20">
        <v>-1.2</v>
      </c>
      <c r="Y20">
        <v>-0.8</v>
      </c>
    </row>
    <row r="21" spans="1:25" x14ac:dyDescent="0.2">
      <c r="A21" t="s">
        <v>57</v>
      </c>
      <c r="B21">
        <v>20</v>
      </c>
      <c r="C21" s="1">
        <v>43303</v>
      </c>
      <c r="D21" t="s">
        <v>16</v>
      </c>
      <c r="E21">
        <v>2018</v>
      </c>
      <c r="F21" t="s">
        <v>17</v>
      </c>
      <c r="G21" t="s">
        <v>38</v>
      </c>
      <c r="H21" t="s">
        <v>19</v>
      </c>
      <c r="I21" t="s">
        <v>25</v>
      </c>
      <c r="J21">
        <v>1</v>
      </c>
      <c r="K21">
        <v>5</v>
      </c>
      <c r="L21">
        <v>-4</v>
      </c>
      <c r="M21">
        <v>0.6</v>
      </c>
      <c r="N21">
        <v>3.9</v>
      </c>
      <c r="O21">
        <v>-3.3</v>
      </c>
      <c r="P21">
        <v>0.70000000000000018</v>
      </c>
      <c r="Q21">
        <v>0</v>
      </c>
      <c r="R21">
        <v>0</v>
      </c>
      <c r="S21" t="s">
        <v>276</v>
      </c>
      <c r="T21">
        <v>0</v>
      </c>
      <c r="U21" t="s">
        <v>292</v>
      </c>
      <c r="V21">
        <v>0</v>
      </c>
      <c r="W21">
        <v>3150</v>
      </c>
      <c r="X21">
        <v>0.4</v>
      </c>
      <c r="Y21">
        <v>1.1000000000000001</v>
      </c>
    </row>
    <row r="22" spans="1:25" x14ac:dyDescent="0.2">
      <c r="A22" t="s">
        <v>58</v>
      </c>
      <c r="B22">
        <v>21</v>
      </c>
      <c r="C22" s="1">
        <v>43307</v>
      </c>
      <c r="D22" t="s">
        <v>16</v>
      </c>
      <c r="E22">
        <v>2018</v>
      </c>
      <c r="F22" t="s">
        <v>17</v>
      </c>
      <c r="G22" t="s">
        <v>24</v>
      </c>
      <c r="H22" t="s">
        <v>33</v>
      </c>
      <c r="I22" t="s">
        <v>36</v>
      </c>
      <c r="J22">
        <v>2</v>
      </c>
      <c r="K22">
        <v>2</v>
      </c>
      <c r="L22">
        <v>0</v>
      </c>
      <c r="M22">
        <v>1.5</v>
      </c>
      <c r="N22">
        <v>2</v>
      </c>
      <c r="O22">
        <v>-0.5</v>
      </c>
      <c r="P22">
        <v>-0.5</v>
      </c>
      <c r="Q22">
        <v>90</v>
      </c>
      <c r="R22">
        <v>1</v>
      </c>
      <c r="S22" t="s">
        <v>275</v>
      </c>
      <c r="T22">
        <v>0</v>
      </c>
      <c r="U22" t="s">
        <v>292</v>
      </c>
      <c r="V22">
        <v>0</v>
      </c>
      <c r="W22">
        <v>3150</v>
      </c>
      <c r="X22">
        <v>0.5</v>
      </c>
      <c r="Y22">
        <v>0</v>
      </c>
    </row>
    <row r="23" spans="1:25" x14ac:dyDescent="0.2">
      <c r="A23" t="s">
        <v>59</v>
      </c>
      <c r="B23">
        <v>22</v>
      </c>
      <c r="C23" s="1">
        <v>43317</v>
      </c>
      <c r="D23" t="s">
        <v>16</v>
      </c>
      <c r="E23">
        <v>2018</v>
      </c>
      <c r="F23" t="s">
        <v>17</v>
      </c>
      <c r="G23" t="s">
        <v>60</v>
      </c>
      <c r="H23" t="s">
        <v>19</v>
      </c>
      <c r="I23" t="s">
        <v>25</v>
      </c>
      <c r="J23">
        <v>1</v>
      </c>
      <c r="K23">
        <v>2</v>
      </c>
      <c r="L23">
        <v>-1</v>
      </c>
      <c r="M23">
        <v>1.7</v>
      </c>
      <c r="N23">
        <v>2.2999999999999998</v>
      </c>
      <c r="O23">
        <v>-0.59999999999999987</v>
      </c>
      <c r="P23">
        <v>0.40000000000000013</v>
      </c>
      <c r="Q23">
        <v>90</v>
      </c>
      <c r="R23">
        <v>1</v>
      </c>
      <c r="S23" t="s">
        <v>275</v>
      </c>
      <c r="T23">
        <v>0</v>
      </c>
      <c r="U23" t="s">
        <v>292</v>
      </c>
      <c r="V23">
        <v>0</v>
      </c>
      <c r="W23">
        <v>3150</v>
      </c>
      <c r="X23">
        <v>-0.7</v>
      </c>
      <c r="Y23">
        <v>-0.29999999999999982</v>
      </c>
    </row>
    <row r="24" spans="1:25" x14ac:dyDescent="0.2">
      <c r="A24" t="s">
        <v>61</v>
      </c>
      <c r="B24">
        <v>23</v>
      </c>
      <c r="C24" s="1">
        <v>43323</v>
      </c>
      <c r="D24" t="s">
        <v>16</v>
      </c>
      <c r="E24">
        <v>2018</v>
      </c>
      <c r="F24" t="s">
        <v>17</v>
      </c>
      <c r="G24" t="s">
        <v>62</v>
      </c>
      <c r="H24" t="s">
        <v>33</v>
      </c>
      <c r="I24" t="s">
        <v>25</v>
      </c>
      <c r="J24">
        <v>0</v>
      </c>
      <c r="K24">
        <v>2</v>
      </c>
      <c r="L24">
        <v>-2</v>
      </c>
      <c r="M24">
        <v>1.8</v>
      </c>
      <c r="N24">
        <v>1.8</v>
      </c>
      <c r="O24">
        <v>0</v>
      </c>
      <c r="P24">
        <v>2</v>
      </c>
      <c r="Q24">
        <v>32</v>
      </c>
      <c r="R24">
        <v>1</v>
      </c>
      <c r="S24" t="s">
        <v>277</v>
      </c>
      <c r="T24">
        <v>0</v>
      </c>
      <c r="U24" t="s">
        <v>292</v>
      </c>
      <c r="V24">
        <v>0</v>
      </c>
      <c r="W24">
        <v>3150</v>
      </c>
      <c r="X24">
        <v>-1.8</v>
      </c>
      <c r="Y24">
        <v>0.19999999999999996</v>
      </c>
    </row>
    <row r="25" spans="1:25" x14ac:dyDescent="0.2">
      <c r="A25" t="s">
        <v>63</v>
      </c>
      <c r="B25">
        <v>24</v>
      </c>
      <c r="C25" s="1">
        <v>43327</v>
      </c>
      <c r="D25" t="s">
        <v>16</v>
      </c>
      <c r="E25">
        <v>2018</v>
      </c>
      <c r="F25" t="s">
        <v>17</v>
      </c>
      <c r="G25" t="s">
        <v>22</v>
      </c>
      <c r="H25" t="s">
        <v>33</v>
      </c>
      <c r="I25" t="s">
        <v>20</v>
      </c>
      <c r="J25">
        <v>2</v>
      </c>
      <c r="K25">
        <v>0</v>
      </c>
      <c r="L25">
        <v>2</v>
      </c>
      <c r="M25">
        <v>1.8</v>
      </c>
      <c r="N25">
        <v>0.3</v>
      </c>
      <c r="O25">
        <v>1.5</v>
      </c>
      <c r="P25">
        <v>-0.5</v>
      </c>
      <c r="Q25">
        <v>90</v>
      </c>
      <c r="R25">
        <v>1</v>
      </c>
      <c r="S25" t="s">
        <v>275</v>
      </c>
      <c r="T25">
        <v>1</v>
      </c>
      <c r="U25" t="s">
        <v>292</v>
      </c>
      <c r="V25">
        <v>0</v>
      </c>
      <c r="W25">
        <v>3150</v>
      </c>
      <c r="X25">
        <v>0.19999999999999996</v>
      </c>
      <c r="Y25">
        <v>-0.3</v>
      </c>
    </row>
    <row r="26" spans="1:25" x14ac:dyDescent="0.2">
      <c r="A26" t="s">
        <v>64</v>
      </c>
      <c r="B26">
        <v>25</v>
      </c>
      <c r="C26" s="1">
        <v>43331</v>
      </c>
      <c r="D26" t="s">
        <v>16</v>
      </c>
      <c r="E26">
        <v>2018</v>
      </c>
      <c r="F26" t="s">
        <v>17</v>
      </c>
      <c r="G26" t="s">
        <v>65</v>
      </c>
      <c r="H26" t="s">
        <v>33</v>
      </c>
      <c r="I26" t="s">
        <v>20</v>
      </c>
      <c r="J26">
        <v>2</v>
      </c>
      <c r="K26">
        <v>0</v>
      </c>
      <c r="L26">
        <v>2</v>
      </c>
      <c r="M26">
        <v>1</v>
      </c>
      <c r="N26">
        <v>0.9</v>
      </c>
      <c r="O26">
        <v>9.9999999999999978E-2</v>
      </c>
      <c r="P26">
        <v>-1.9</v>
      </c>
      <c r="Q26">
        <v>79</v>
      </c>
      <c r="R26">
        <v>1</v>
      </c>
      <c r="S26" t="s">
        <v>275</v>
      </c>
      <c r="T26">
        <v>1</v>
      </c>
      <c r="U26" t="s">
        <v>292</v>
      </c>
      <c r="V26">
        <v>0</v>
      </c>
      <c r="W26">
        <v>3150</v>
      </c>
      <c r="X26">
        <v>1</v>
      </c>
      <c r="Y26">
        <v>-0.9</v>
      </c>
    </row>
    <row r="27" spans="1:25" x14ac:dyDescent="0.2">
      <c r="A27" t="s">
        <v>66</v>
      </c>
      <c r="B27">
        <v>26</v>
      </c>
      <c r="C27" s="1">
        <v>43336</v>
      </c>
      <c r="D27" t="s">
        <v>16</v>
      </c>
      <c r="E27">
        <v>2018</v>
      </c>
      <c r="F27" t="s">
        <v>17</v>
      </c>
      <c r="G27" t="s">
        <v>24</v>
      </c>
      <c r="H27" t="s">
        <v>19</v>
      </c>
      <c r="I27" t="s">
        <v>36</v>
      </c>
      <c r="J27">
        <v>1</v>
      </c>
      <c r="K27">
        <v>1</v>
      </c>
      <c r="L27">
        <v>0</v>
      </c>
      <c r="M27">
        <v>1.5</v>
      </c>
      <c r="N27">
        <v>1.3</v>
      </c>
      <c r="O27">
        <v>0.19999999999999996</v>
      </c>
      <c r="P27">
        <v>0.19999999999999996</v>
      </c>
      <c r="Q27">
        <v>90</v>
      </c>
      <c r="R27">
        <v>1</v>
      </c>
      <c r="S27" t="s">
        <v>275</v>
      </c>
      <c r="T27">
        <v>0</v>
      </c>
      <c r="U27" t="s">
        <v>292</v>
      </c>
      <c r="V27">
        <v>0</v>
      </c>
      <c r="W27">
        <v>3150</v>
      </c>
      <c r="X27">
        <v>-0.5</v>
      </c>
      <c r="Y27">
        <v>-0.30000000000000004</v>
      </c>
    </row>
    <row r="28" spans="1:25" x14ac:dyDescent="0.2">
      <c r="A28" t="s">
        <v>67</v>
      </c>
      <c r="B28">
        <v>27</v>
      </c>
      <c r="C28" s="1">
        <v>43344</v>
      </c>
      <c r="D28" t="s">
        <v>16</v>
      </c>
      <c r="E28">
        <v>2018</v>
      </c>
      <c r="F28" t="s">
        <v>17</v>
      </c>
      <c r="G28" t="s">
        <v>68</v>
      </c>
      <c r="H28" t="s">
        <v>19</v>
      </c>
      <c r="I28" t="s">
        <v>20</v>
      </c>
      <c r="J28">
        <v>4</v>
      </c>
      <c r="K28">
        <v>2</v>
      </c>
      <c r="L28">
        <v>2</v>
      </c>
      <c r="M28">
        <v>1.6</v>
      </c>
      <c r="N28">
        <v>3.2</v>
      </c>
      <c r="O28">
        <v>-1.6</v>
      </c>
      <c r="P28">
        <v>-3.6</v>
      </c>
      <c r="Q28">
        <v>90</v>
      </c>
      <c r="R28">
        <v>1</v>
      </c>
      <c r="S28" t="s">
        <v>275</v>
      </c>
      <c r="T28">
        <v>1</v>
      </c>
      <c r="U28" t="s">
        <v>292</v>
      </c>
      <c r="V28">
        <v>0</v>
      </c>
      <c r="W28">
        <v>3150</v>
      </c>
      <c r="X28">
        <v>2.4</v>
      </c>
      <c r="Y28">
        <v>-1.2000000000000002</v>
      </c>
    </row>
    <row r="29" spans="1:25" x14ac:dyDescent="0.2">
      <c r="A29" t="s">
        <v>69</v>
      </c>
      <c r="B29">
        <v>28</v>
      </c>
      <c r="C29" s="1">
        <v>43358</v>
      </c>
      <c r="D29" t="s">
        <v>16</v>
      </c>
      <c r="E29">
        <v>2018</v>
      </c>
      <c r="F29" t="s">
        <v>17</v>
      </c>
      <c r="G29" t="s">
        <v>70</v>
      </c>
      <c r="H29" t="s">
        <v>33</v>
      </c>
      <c r="I29" t="s">
        <v>36</v>
      </c>
      <c r="J29">
        <v>1</v>
      </c>
      <c r="K29">
        <v>1</v>
      </c>
      <c r="L29">
        <v>0</v>
      </c>
      <c r="M29">
        <v>1.6</v>
      </c>
      <c r="N29">
        <v>1.7</v>
      </c>
      <c r="O29">
        <v>-9.9999999999999867E-2</v>
      </c>
      <c r="P29">
        <v>-9.9999999999999867E-2</v>
      </c>
      <c r="Q29">
        <v>90</v>
      </c>
      <c r="R29">
        <v>1</v>
      </c>
      <c r="S29" t="s">
        <v>275</v>
      </c>
      <c r="T29">
        <v>0</v>
      </c>
      <c r="U29" t="s">
        <v>292</v>
      </c>
      <c r="V29">
        <v>0</v>
      </c>
      <c r="W29">
        <v>3150</v>
      </c>
      <c r="X29">
        <v>-0.60000000000000009</v>
      </c>
      <c r="Y29">
        <v>-0.7</v>
      </c>
    </row>
    <row r="30" spans="1:25" x14ac:dyDescent="0.2">
      <c r="A30" t="s">
        <v>71</v>
      </c>
      <c r="B30">
        <v>29</v>
      </c>
      <c r="C30" s="1">
        <v>43365</v>
      </c>
      <c r="D30" t="s">
        <v>16</v>
      </c>
      <c r="E30">
        <v>2018</v>
      </c>
      <c r="F30" t="s">
        <v>17</v>
      </c>
      <c r="G30" t="s">
        <v>47</v>
      </c>
      <c r="H30" t="s">
        <v>33</v>
      </c>
      <c r="I30" t="s">
        <v>20</v>
      </c>
      <c r="J30">
        <v>2</v>
      </c>
      <c r="K30">
        <v>0</v>
      </c>
      <c r="L30">
        <v>2</v>
      </c>
      <c r="M30">
        <v>2.1</v>
      </c>
      <c r="N30">
        <v>0.2</v>
      </c>
      <c r="O30">
        <v>1.9000000000000001</v>
      </c>
      <c r="P30">
        <v>-9.9999999999999867E-2</v>
      </c>
      <c r="Q30">
        <v>81</v>
      </c>
      <c r="R30">
        <v>1</v>
      </c>
      <c r="S30" t="s">
        <v>275</v>
      </c>
      <c r="T30">
        <v>1</v>
      </c>
      <c r="U30" t="s">
        <v>292</v>
      </c>
      <c r="V30">
        <v>0</v>
      </c>
      <c r="W30">
        <v>3150</v>
      </c>
      <c r="X30">
        <v>-0.10000000000000009</v>
      </c>
      <c r="Y30">
        <v>-0.2</v>
      </c>
    </row>
    <row r="31" spans="1:25" x14ac:dyDescent="0.2">
      <c r="A31" t="s">
        <v>72</v>
      </c>
      <c r="B31">
        <v>30</v>
      </c>
      <c r="C31" s="1">
        <v>43372</v>
      </c>
      <c r="D31" t="s">
        <v>16</v>
      </c>
      <c r="E31">
        <v>2018</v>
      </c>
      <c r="F31" t="s">
        <v>17</v>
      </c>
      <c r="G31" t="s">
        <v>73</v>
      </c>
      <c r="H31" t="s">
        <v>19</v>
      </c>
      <c r="I31" t="s">
        <v>25</v>
      </c>
      <c r="J31">
        <v>1</v>
      </c>
      <c r="K31">
        <v>3</v>
      </c>
      <c r="L31">
        <v>-2</v>
      </c>
      <c r="M31">
        <v>1.5</v>
      </c>
      <c r="N31">
        <v>1.1000000000000001</v>
      </c>
      <c r="O31">
        <v>0.39999999999999991</v>
      </c>
      <c r="P31">
        <v>2.4</v>
      </c>
      <c r="Q31">
        <v>90</v>
      </c>
      <c r="R31">
        <v>1</v>
      </c>
      <c r="S31" t="s">
        <v>275</v>
      </c>
      <c r="T31">
        <v>0</v>
      </c>
      <c r="U31" t="s">
        <v>292</v>
      </c>
      <c r="V31">
        <v>0</v>
      </c>
      <c r="W31">
        <v>3150</v>
      </c>
      <c r="X31">
        <v>-0.5</v>
      </c>
      <c r="Y31">
        <v>1.9</v>
      </c>
    </row>
    <row r="32" spans="1:25" x14ac:dyDescent="0.2">
      <c r="A32" t="s">
        <v>74</v>
      </c>
      <c r="B32">
        <v>31</v>
      </c>
      <c r="C32" s="1">
        <v>43379</v>
      </c>
      <c r="D32" t="s">
        <v>16</v>
      </c>
      <c r="E32">
        <v>2018</v>
      </c>
      <c r="F32" t="s">
        <v>17</v>
      </c>
      <c r="G32" t="s">
        <v>65</v>
      </c>
      <c r="H32" t="s">
        <v>19</v>
      </c>
      <c r="I32" t="s">
        <v>20</v>
      </c>
      <c r="J32">
        <v>3</v>
      </c>
      <c r="K32">
        <v>0</v>
      </c>
      <c r="L32">
        <v>3</v>
      </c>
      <c r="M32">
        <v>2.9</v>
      </c>
      <c r="N32">
        <v>0.8</v>
      </c>
      <c r="O32">
        <v>2.0999999999999996</v>
      </c>
      <c r="P32">
        <v>-0.90000000000000036</v>
      </c>
      <c r="Q32">
        <v>90</v>
      </c>
      <c r="R32">
        <v>1</v>
      </c>
      <c r="S32" t="s">
        <v>275</v>
      </c>
      <c r="T32">
        <v>1</v>
      </c>
      <c r="U32" t="s">
        <v>292</v>
      </c>
      <c r="V32">
        <v>0</v>
      </c>
      <c r="W32">
        <v>3150</v>
      </c>
      <c r="X32">
        <v>0.10000000000000009</v>
      </c>
      <c r="Y32">
        <v>-0.8</v>
      </c>
    </row>
    <row r="33" spans="1:25" x14ac:dyDescent="0.2">
      <c r="A33" t="s">
        <v>75</v>
      </c>
      <c r="B33">
        <v>32</v>
      </c>
      <c r="C33" s="1">
        <v>43385</v>
      </c>
      <c r="D33" t="s">
        <v>16</v>
      </c>
      <c r="E33">
        <v>2018</v>
      </c>
      <c r="F33" t="s">
        <v>17</v>
      </c>
      <c r="G33" t="s">
        <v>53</v>
      </c>
      <c r="H33" t="s">
        <v>33</v>
      </c>
      <c r="I33" t="s">
        <v>20</v>
      </c>
      <c r="J33">
        <v>4</v>
      </c>
      <c r="K33">
        <v>2</v>
      </c>
      <c r="L33">
        <v>2</v>
      </c>
      <c r="M33">
        <v>2.8</v>
      </c>
      <c r="N33">
        <v>1.2</v>
      </c>
      <c r="O33">
        <v>1.5999999999999999</v>
      </c>
      <c r="P33">
        <v>-0.40000000000000013</v>
      </c>
      <c r="Q33">
        <v>90</v>
      </c>
      <c r="R33">
        <v>1</v>
      </c>
      <c r="S33" t="s">
        <v>275</v>
      </c>
      <c r="T33">
        <v>1</v>
      </c>
      <c r="U33" t="s">
        <v>292</v>
      </c>
      <c r="V33">
        <v>0</v>
      </c>
      <c r="W33">
        <v>3150</v>
      </c>
      <c r="X33">
        <v>1.2000000000000002</v>
      </c>
      <c r="Y33">
        <v>0.8</v>
      </c>
    </row>
    <row r="34" spans="1:25" x14ac:dyDescent="0.2">
      <c r="A34" t="s">
        <v>76</v>
      </c>
      <c r="B34">
        <v>33</v>
      </c>
      <c r="C34" s="1">
        <v>43394</v>
      </c>
      <c r="D34" t="s">
        <v>16</v>
      </c>
      <c r="E34">
        <v>2018</v>
      </c>
      <c r="F34" t="s">
        <v>17</v>
      </c>
      <c r="G34" t="s">
        <v>29</v>
      </c>
      <c r="H34" t="s">
        <v>33</v>
      </c>
      <c r="I34" t="s">
        <v>36</v>
      </c>
      <c r="J34">
        <v>2</v>
      </c>
      <c r="K34">
        <v>2</v>
      </c>
      <c r="L34">
        <v>0</v>
      </c>
      <c r="M34">
        <v>2.1</v>
      </c>
      <c r="N34">
        <v>1.6</v>
      </c>
      <c r="O34">
        <v>0.5</v>
      </c>
      <c r="P34">
        <v>0.5</v>
      </c>
      <c r="Q34">
        <v>90</v>
      </c>
      <c r="R34">
        <v>1</v>
      </c>
      <c r="S34" t="s">
        <v>275</v>
      </c>
      <c r="T34">
        <v>0</v>
      </c>
      <c r="U34" t="s">
        <v>292</v>
      </c>
      <c r="V34">
        <v>0</v>
      </c>
      <c r="W34">
        <v>3150</v>
      </c>
      <c r="X34">
        <v>-0.10000000000000009</v>
      </c>
      <c r="Y34">
        <v>0.39999999999999991</v>
      </c>
    </row>
    <row r="35" spans="1:25" x14ac:dyDescent="0.2">
      <c r="A35" t="s">
        <v>77</v>
      </c>
      <c r="B35">
        <v>34</v>
      </c>
      <c r="C35" s="1">
        <v>43401</v>
      </c>
      <c r="D35" t="s">
        <v>16</v>
      </c>
      <c r="E35">
        <v>2018</v>
      </c>
      <c r="F35" t="s">
        <v>17</v>
      </c>
      <c r="G35" t="s">
        <v>62</v>
      </c>
      <c r="H35" t="s">
        <v>19</v>
      </c>
      <c r="I35" t="s">
        <v>25</v>
      </c>
      <c r="J35">
        <v>1</v>
      </c>
      <c r="K35">
        <v>2</v>
      </c>
      <c r="L35">
        <v>-1</v>
      </c>
      <c r="M35">
        <v>1.5</v>
      </c>
      <c r="N35">
        <v>0.8</v>
      </c>
      <c r="O35">
        <v>0.7</v>
      </c>
      <c r="P35">
        <v>1.7</v>
      </c>
      <c r="Q35">
        <v>90</v>
      </c>
      <c r="R35">
        <v>1</v>
      </c>
      <c r="S35" t="s">
        <v>275</v>
      </c>
      <c r="T35">
        <v>0</v>
      </c>
      <c r="U35" t="s">
        <v>292</v>
      </c>
      <c r="V35">
        <v>0</v>
      </c>
      <c r="W35">
        <v>3150</v>
      </c>
      <c r="X35">
        <v>-0.5</v>
      </c>
      <c r="Y35">
        <v>1.2</v>
      </c>
    </row>
    <row r="36" spans="1:25" x14ac:dyDescent="0.2">
      <c r="A36" t="s">
        <v>78</v>
      </c>
      <c r="B36">
        <v>35</v>
      </c>
      <c r="C36" s="1">
        <v>43405</v>
      </c>
      <c r="D36" t="s">
        <v>16</v>
      </c>
      <c r="E36">
        <v>2018</v>
      </c>
      <c r="F36" t="s">
        <v>79</v>
      </c>
      <c r="G36" t="s">
        <v>22</v>
      </c>
      <c r="H36" t="s">
        <v>33</v>
      </c>
      <c r="I36" t="s">
        <v>25</v>
      </c>
      <c r="J36">
        <v>2</v>
      </c>
      <c r="K36">
        <v>3</v>
      </c>
      <c r="L36">
        <v>-1</v>
      </c>
      <c r="M36">
        <v>2.1</v>
      </c>
      <c r="N36">
        <v>0.5</v>
      </c>
      <c r="O36">
        <v>1.6</v>
      </c>
      <c r="P36">
        <v>2.6</v>
      </c>
      <c r="Q36">
        <v>90</v>
      </c>
      <c r="R36">
        <v>1</v>
      </c>
      <c r="S36" t="s">
        <v>275</v>
      </c>
      <c r="T36">
        <v>0</v>
      </c>
      <c r="U36" t="s">
        <v>292</v>
      </c>
      <c r="V36">
        <v>0</v>
      </c>
      <c r="W36">
        <v>3150</v>
      </c>
      <c r="X36">
        <v>-0.10000000000000009</v>
      </c>
      <c r="Y36">
        <v>2.5</v>
      </c>
    </row>
    <row r="37" spans="1:25" x14ac:dyDescent="0.2">
      <c r="A37" t="s">
        <v>80</v>
      </c>
      <c r="B37">
        <v>1</v>
      </c>
      <c r="C37" s="1">
        <v>43527</v>
      </c>
      <c r="D37" t="s">
        <v>16</v>
      </c>
      <c r="E37">
        <v>2019</v>
      </c>
      <c r="F37" t="s">
        <v>17</v>
      </c>
      <c r="G37" t="s">
        <v>62</v>
      </c>
      <c r="H37" t="s">
        <v>33</v>
      </c>
      <c r="I37" t="s">
        <v>20</v>
      </c>
      <c r="J37">
        <v>2</v>
      </c>
      <c r="K37">
        <v>1</v>
      </c>
      <c r="L37">
        <v>1</v>
      </c>
      <c r="M37">
        <v>0.9</v>
      </c>
      <c r="N37">
        <v>0.7</v>
      </c>
      <c r="O37">
        <v>0.20000000000000007</v>
      </c>
      <c r="P37">
        <v>-0.79999999999999993</v>
      </c>
      <c r="Q37">
        <v>90</v>
      </c>
      <c r="R37">
        <v>1</v>
      </c>
      <c r="S37" t="s">
        <v>275</v>
      </c>
      <c r="T37">
        <v>1</v>
      </c>
      <c r="U37" t="s">
        <v>293</v>
      </c>
      <c r="V37">
        <v>0</v>
      </c>
      <c r="W37">
        <v>3240</v>
      </c>
      <c r="X37">
        <v>1.1000000000000001</v>
      </c>
      <c r="Y37">
        <v>0.30000000000000004</v>
      </c>
    </row>
    <row r="38" spans="1:25" x14ac:dyDescent="0.2">
      <c r="A38" t="s">
        <v>81</v>
      </c>
      <c r="B38">
        <v>2</v>
      </c>
      <c r="C38" s="1">
        <v>43534</v>
      </c>
      <c r="D38" t="s">
        <v>16</v>
      </c>
      <c r="E38">
        <v>2019</v>
      </c>
      <c r="F38" t="s">
        <v>17</v>
      </c>
      <c r="G38" t="s">
        <v>42</v>
      </c>
      <c r="H38" t="s">
        <v>33</v>
      </c>
      <c r="I38" t="s">
        <v>20</v>
      </c>
      <c r="J38">
        <v>4</v>
      </c>
      <c r="K38">
        <v>1</v>
      </c>
      <c r="L38">
        <v>3</v>
      </c>
      <c r="M38">
        <v>3.4</v>
      </c>
      <c r="N38">
        <v>1.2</v>
      </c>
      <c r="O38">
        <v>2.2000000000000002</v>
      </c>
      <c r="P38">
        <v>-0.79999999999999982</v>
      </c>
      <c r="Q38">
        <v>90</v>
      </c>
      <c r="R38">
        <v>1</v>
      </c>
      <c r="S38" t="s">
        <v>275</v>
      </c>
      <c r="T38">
        <v>1</v>
      </c>
      <c r="U38" t="s">
        <v>293</v>
      </c>
      <c r="V38">
        <v>0</v>
      </c>
      <c r="W38">
        <v>3240</v>
      </c>
      <c r="X38">
        <v>0.60000000000000009</v>
      </c>
      <c r="Y38">
        <v>-0.19999999999999996</v>
      </c>
    </row>
    <row r="39" spans="1:25" x14ac:dyDescent="0.2">
      <c r="A39" t="s">
        <v>82</v>
      </c>
      <c r="B39">
        <v>3</v>
      </c>
      <c r="C39" s="1">
        <v>43541</v>
      </c>
      <c r="D39" t="s">
        <v>16</v>
      </c>
      <c r="E39">
        <v>2019</v>
      </c>
      <c r="F39" t="s">
        <v>17</v>
      </c>
      <c r="G39" t="s">
        <v>40</v>
      </c>
      <c r="H39" t="s">
        <v>19</v>
      </c>
      <c r="I39" t="s">
        <v>36</v>
      </c>
      <c r="J39">
        <v>2</v>
      </c>
      <c r="K39">
        <v>2</v>
      </c>
      <c r="L39">
        <v>0</v>
      </c>
      <c r="M39">
        <v>2.4</v>
      </c>
      <c r="N39">
        <v>1.4</v>
      </c>
      <c r="O39">
        <v>1</v>
      </c>
      <c r="P39">
        <v>1</v>
      </c>
      <c r="Q39">
        <v>90</v>
      </c>
      <c r="R39">
        <v>1</v>
      </c>
      <c r="S39" t="s">
        <v>275</v>
      </c>
      <c r="T39">
        <v>0</v>
      </c>
      <c r="U39" t="s">
        <v>293</v>
      </c>
      <c r="V39">
        <v>0</v>
      </c>
      <c r="W39">
        <v>3240</v>
      </c>
      <c r="X39">
        <v>-0.39999999999999991</v>
      </c>
      <c r="Y39">
        <v>0.60000000000000009</v>
      </c>
    </row>
    <row r="40" spans="1:25" x14ac:dyDescent="0.2">
      <c r="A40" t="s">
        <v>83</v>
      </c>
      <c r="B40">
        <v>4</v>
      </c>
      <c r="C40" s="1">
        <v>43547</v>
      </c>
      <c r="D40" t="s">
        <v>16</v>
      </c>
      <c r="E40">
        <v>2019</v>
      </c>
      <c r="F40" t="s">
        <v>17</v>
      </c>
      <c r="G40" t="s">
        <v>22</v>
      </c>
      <c r="H40" t="s">
        <v>33</v>
      </c>
      <c r="I40" t="s">
        <v>20</v>
      </c>
      <c r="J40">
        <v>2</v>
      </c>
      <c r="K40">
        <v>1</v>
      </c>
      <c r="L40">
        <v>1</v>
      </c>
      <c r="M40">
        <v>1</v>
      </c>
      <c r="N40">
        <v>0.9</v>
      </c>
      <c r="O40">
        <v>9.9999999999999978E-2</v>
      </c>
      <c r="P40">
        <v>-0.9</v>
      </c>
      <c r="Q40">
        <v>90</v>
      </c>
      <c r="R40">
        <v>1</v>
      </c>
      <c r="S40" t="s">
        <v>275</v>
      </c>
      <c r="T40">
        <v>1</v>
      </c>
      <c r="U40" t="s">
        <v>293</v>
      </c>
      <c r="V40">
        <v>0</v>
      </c>
      <c r="W40">
        <v>3240</v>
      </c>
      <c r="X40">
        <v>1</v>
      </c>
      <c r="Y40">
        <v>9.9999999999999978E-2</v>
      </c>
    </row>
    <row r="41" spans="1:25" x14ac:dyDescent="0.2">
      <c r="A41" t="s">
        <v>84</v>
      </c>
      <c r="B41">
        <v>5</v>
      </c>
      <c r="C41" s="1">
        <v>43554</v>
      </c>
      <c r="D41" t="s">
        <v>16</v>
      </c>
      <c r="E41">
        <v>2019</v>
      </c>
      <c r="F41" t="s">
        <v>17</v>
      </c>
      <c r="G41" t="s">
        <v>47</v>
      </c>
      <c r="H41" t="s">
        <v>19</v>
      </c>
      <c r="I41" t="s">
        <v>20</v>
      </c>
      <c r="J41">
        <v>5</v>
      </c>
      <c r="K41">
        <v>0</v>
      </c>
      <c r="L41">
        <v>5</v>
      </c>
      <c r="M41">
        <v>3.6</v>
      </c>
      <c r="N41">
        <v>0.3</v>
      </c>
      <c r="O41">
        <v>3.3000000000000003</v>
      </c>
      <c r="P41">
        <v>-1.6999999999999997</v>
      </c>
      <c r="Q41">
        <v>90</v>
      </c>
      <c r="R41">
        <v>1</v>
      </c>
      <c r="S41" t="s">
        <v>275</v>
      </c>
      <c r="T41">
        <v>1</v>
      </c>
      <c r="U41" t="s">
        <v>293</v>
      </c>
      <c r="V41">
        <v>0</v>
      </c>
      <c r="W41">
        <v>3240</v>
      </c>
      <c r="X41">
        <v>1.4</v>
      </c>
      <c r="Y41">
        <v>-0.3</v>
      </c>
    </row>
    <row r="42" spans="1:25" x14ac:dyDescent="0.2">
      <c r="A42" t="s">
        <v>85</v>
      </c>
      <c r="B42">
        <v>6</v>
      </c>
      <c r="C42" s="1">
        <v>43561</v>
      </c>
      <c r="D42" t="s">
        <v>16</v>
      </c>
      <c r="E42">
        <v>2019</v>
      </c>
      <c r="F42" t="s">
        <v>17</v>
      </c>
      <c r="G42" t="s">
        <v>44</v>
      </c>
      <c r="H42" t="s">
        <v>19</v>
      </c>
      <c r="I42" t="s">
        <v>20</v>
      </c>
      <c r="J42">
        <v>4</v>
      </c>
      <c r="K42">
        <v>0</v>
      </c>
      <c r="L42">
        <v>4</v>
      </c>
      <c r="M42">
        <v>2.2000000000000002</v>
      </c>
      <c r="N42">
        <v>0.9</v>
      </c>
      <c r="O42">
        <v>1.3000000000000003</v>
      </c>
      <c r="P42">
        <v>-2.6999999999999997</v>
      </c>
      <c r="Q42">
        <v>79</v>
      </c>
      <c r="R42">
        <v>1</v>
      </c>
      <c r="S42" t="s">
        <v>275</v>
      </c>
      <c r="T42">
        <v>1</v>
      </c>
      <c r="U42" t="s">
        <v>293</v>
      </c>
      <c r="V42">
        <v>0</v>
      </c>
      <c r="W42">
        <v>3240</v>
      </c>
      <c r="X42">
        <v>1.7999999999999998</v>
      </c>
      <c r="Y42">
        <v>-0.9</v>
      </c>
    </row>
    <row r="43" spans="1:25" x14ac:dyDescent="0.2">
      <c r="A43" t="s">
        <v>86</v>
      </c>
      <c r="B43">
        <v>7</v>
      </c>
      <c r="C43" s="1">
        <v>43568</v>
      </c>
      <c r="D43" t="s">
        <v>16</v>
      </c>
      <c r="E43">
        <v>2019</v>
      </c>
      <c r="F43" t="s">
        <v>17</v>
      </c>
      <c r="G43" t="s">
        <v>87</v>
      </c>
      <c r="H43" t="s">
        <v>33</v>
      </c>
      <c r="I43" t="s">
        <v>20</v>
      </c>
      <c r="J43">
        <v>2</v>
      </c>
      <c r="K43">
        <v>0</v>
      </c>
      <c r="L43">
        <v>2</v>
      </c>
      <c r="M43">
        <v>2</v>
      </c>
      <c r="N43">
        <v>1.5</v>
      </c>
      <c r="O43">
        <v>0.5</v>
      </c>
      <c r="P43">
        <v>-1.5</v>
      </c>
      <c r="Q43">
        <v>90</v>
      </c>
      <c r="R43">
        <v>1</v>
      </c>
      <c r="S43" t="s">
        <v>275</v>
      </c>
      <c r="T43">
        <v>1</v>
      </c>
      <c r="U43" t="s">
        <v>293</v>
      </c>
      <c r="V43">
        <v>0</v>
      </c>
      <c r="W43">
        <v>3240</v>
      </c>
      <c r="X43">
        <v>0</v>
      </c>
      <c r="Y43">
        <v>-1.5</v>
      </c>
    </row>
    <row r="44" spans="1:25" x14ac:dyDescent="0.2">
      <c r="A44" t="s">
        <v>88</v>
      </c>
      <c r="B44">
        <v>8</v>
      </c>
      <c r="C44" s="1">
        <v>43572</v>
      </c>
      <c r="D44" t="s">
        <v>16</v>
      </c>
      <c r="E44">
        <v>2019</v>
      </c>
      <c r="F44" t="s">
        <v>17</v>
      </c>
      <c r="G44" t="s">
        <v>29</v>
      </c>
      <c r="H44" t="s">
        <v>19</v>
      </c>
      <c r="I44" t="s">
        <v>25</v>
      </c>
      <c r="J44">
        <v>0</v>
      </c>
      <c r="K44">
        <v>1</v>
      </c>
      <c r="L44">
        <v>-1</v>
      </c>
      <c r="M44">
        <v>0.9</v>
      </c>
      <c r="N44">
        <v>0.9</v>
      </c>
      <c r="O44">
        <v>0</v>
      </c>
      <c r="P44">
        <v>1</v>
      </c>
      <c r="Q44">
        <v>90</v>
      </c>
      <c r="R44">
        <v>1</v>
      </c>
      <c r="S44" t="s">
        <v>275</v>
      </c>
      <c r="T44">
        <v>0</v>
      </c>
      <c r="U44" t="s">
        <v>293</v>
      </c>
      <c r="V44">
        <v>0</v>
      </c>
      <c r="W44">
        <v>3240</v>
      </c>
      <c r="X44">
        <v>-0.9</v>
      </c>
      <c r="Y44">
        <v>9.9999999999999978E-2</v>
      </c>
    </row>
    <row r="45" spans="1:25" x14ac:dyDescent="0.2">
      <c r="A45" t="s">
        <v>89</v>
      </c>
      <c r="B45">
        <v>9</v>
      </c>
      <c r="C45" s="1">
        <v>43576</v>
      </c>
      <c r="D45" t="s">
        <v>16</v>
      </c>
      <c r="E45">
        <v>2019</v>
      </c>
      <c r="F45" t="s">
        <v>17</v>
      </c>
      <c r="G45" t="s">
        <v>18</v>
      </c>
      <c r="H45" t="s">
        <v>33</v>
      </c>
      <c r="I45" t="s">
        <v>20</v>
      </c>
      <c r="J45">
        <v>4</v>
      </c>
      <c r="K45">
        <v>1</v>
      </c>
      <c r="L45">
        <v>3</v>
      </c>
      <c r="M45">
        <v>3.2</v>
      </c>
      <c r="N45">
        <v>0.5</v>
      </c>
      <c r="O45">
        <v>2.7</v>
      </c>
      <c r="P45">
        <v>-0.29999999999999982</v>
      </c>
      <c r="Q45">
        <v>90</v>
      </c>
      <c r="R45">
        <v>1</v>
      </c>
      <c r="S45" t="s">
        <v>275</v>
      </c>
      <c r="T45">
        <v>1</v>
      </c>
      <c r="U45" t="s">
        <v>293</v>
      </c>
      <c r="V45">
        <v>0</v>
      </c>
      <c r="W45">
        <v>3240</v>
      </c>
      <c r="X45">
        <v>0.79999999999999982</v>
      </c>
      <c r="Y45">
        <v>0.5</v>
      </c>
    </row>
    <row r="46" spans="1:25" x14ac:dyDescent="0.2">
      <c r="A46" t="s">
        <v>90</v>
      </c>
      <c r="B46">
        <v>10</v>
      </c>
      <c r="C46" s="1">
        <v>43583</v>
      </c>
      <c r="D46" t="s">
        <v>16</v>
      </c>
      <c r="E46">
        <v>2019</v>
      </c>
      <c r="F46" t="s">
        <v>17</v>
      </c>
      <c r="G46" t="s">
        <v>18</v>
      </c>
      <c r="H46" t="s">
        <v>19</v>
      </c>
      <c r="I46" t="s">
        <v>36</v>
      </c>
      <c r="J46">
        <v>1</v>
      </c>
      <c r="K46">
        <v>1</v>
      </c>
      <c r="L46">
        <v>0</v>
      </c>
      <c r="M46">
        <v>3.6</v>
      </c>
      <c r="N46">
        <v>0.5</v>
      </c>
      <c r="O46">
        <v>3.1</v>
      </c>
      <c r="P46">
        <v>3.1</v>
      </c>
      <c r="Q46">
        <v>90</v>
      </c>
      <c r="R46">
        <v>1</v>
      </c>
      <c r="S46" t="s">
        <v>275</v>
      </c>
      <c r="T46">
        <v>0</v>
      </c>
      <c r="U46" t="s">
        <v>293</v>
      </c>
      <c r="V46">
        <v>0</v>
      </c>
      <c r="W46">
        <v>3240</v>
      </c>
      <c r="X46">
        <v>-2.6</v>
      </c>
      <c r="Y46">
        <v>0.5</v>
      </c>
    </row>
    <row r="47" spans="1:25" x14ac:dyDescent="0.2">
      <c r="A47" t="s">
        <v>91</v>
      </c>
      <c r="B47">
        <v>11</v>
      </c>
      <c r="C47" s="1">
        <v>43589</v>
      </c>
      <c r="D47" t="s">
        <v>16</v>
      </c>
      <c r="E47">
        <v>2019</v>
      </c>
      <c r="F47" t="s">
        <v>17</v>
      </c>
      <c r="G47" t="s">
        <v>73</v>
      </c>
      <c r="H47" t="s">
        <v>33</v>
      </c>
      <c r="I47" t="s">
        <v>36</v>
      </c>
      <c r="J47">
        <v>0</v>
      </c>
      <c r="K47">
        <v>0</v>
      </c>
      <c r="L47">
        <v>0</v>
      </c>
      <c r="M47">
        <v>2.5</v>
      </c>
      <c r="N47">
        <v>1</v>
      </c>
      <c r="O47">
        <v>1.5</v>
      </c>
      <c r="P47">
        <v>1.5</v>
      </c>
      <c r="Q47">
        <v>90</v>
      </c>
      <c r="R47">
        <v>1</v>
      </c>
      <c r="S47" t="s">
        <v>275</v>
      </c>
      <c r="T47">
        <v>0</v>
      </c>
      <c r="U47" t="s">
        <v>293</v>
      </c>
      <c r="V47">
        <v>0</v>
      </c>
      <c r="W47">
        <v>3240</v>
      </c>
      <c r="X47">
        <v>-2.5</v>
      </c>
      <c r="Y47">
        <v>-1</v>
      </c>
    </row>
    <row r="48" spans="1:25" x14ac:dyDescent="0.2">
      <c r="A48" t="s">
        <v>92</v>
      </c>
      <c r="B48">
        <v>12</v>
      </c>
      <c r="C48" s="1">
        <v>43596</v>
      </c>
      <c r="D48" t="s">
        <v>16</v>
      </c>
      <c r="E48">
        <v>2019</v>
      </c>
      <c r="F48" t="s">
        <v>17</v>
      </c>
      <c r="G48" t="s">
        <v>49</v>
      </c>
      <c r="H48" t="s">
        <v>19</v>
      </c>
      <c r="I48" t="s">
        <v>20</v>
      </c>
      <c r="J48">
        <v>3</v>
      </c>
      <c r="K48">
        <v>0</v>
      </c>
      <c r="L48">
        <v>3</v>
      </c>
      <c r="M48">
        <v>2.2000000000000002</v>
      </c>
      <c r="N48">
        <v>0.8</v>
      </c>
      <c r="O48">
        <v>1.4000000000000001</v>
      </c>
      <c r="P48">
        <v>-1.5999999999999999</v>
      </c>
      <c r="Q48">
        <v>90</v>
      </c>
      <c r="R48">
        <v>1</v>
      </c>
      <c r="S48" t="s">
        <v>275</v>
      </c>
      <c r="T48">
        <v>1</v>
      </c>
      <c r="U48" t="s">
        <v>293</v>
      </c>
      <c r="V48">
        <v>0</v>
      </c>
      <c r="W48">
        <v>3240</v>
      </c>
      <c r="X48">
        <v>0.79999999999999982</v>
      </c>
      <c r="Y48">
        <v>-0.8</v>
      </c>
    </row>
    <row r="49" spans="1:25" x14ac:dyDescent="0.2">
      <c r="A49" t="s">
        <v>93</v>
      </c>
      <c r="B49">
        <v>13</v>
      </c>
      <c r="C49" s="1">
        <v>43601</v>
      </c>
      <c r="D49" t="s">
        <v>16</v>
      </c>
      <c r="E49">
        <v>2019</v>
      </c>
      <c r="F49" t="s">
        <v>17</v>
      </c>
      <c r="G49" t="s">
        <v>35</v>
      </c>
      <c r="H49" t="s">
        <v>33</v>
      </c>
      <c r="I49" t="s">
        <v>20</v>
      </c>
      <c r="J49">
        <v>2</v>
      </c>
      <c r="K49">
        <v>0</v>
      </c>
      <c r="L49">
        <v>2</v>
      </c>
      <c r="M49">
        <v>3.5</v>
      </c>
      <c r="N49">
        <v>0.4</v>
      </c>
      <c r="O49">
        <v>3.1</v>
      </c>
      <c r="P49">
        <v>1.1000000000000001</v>
      </c>
      <c r="Q49">
        <v>90</v>
      </c>
      <c r="R49">
        <v>1</v>
      </c>
      <c r="S49" t="s">
        <v>275</v>
      </c>
      <c r="T49">
        <v>1</v>
      </c>
      <c r="U49" t="s">
        <v>293</v>
      </c>
      <c r="V49">
        <v>0</v>
      </c>
      <c r="W49">
        <v>3240</v>
      </c>
      <c r="X49">
        <v>-1.5</v>
      </c>
      <c r="Y49">
        <v>-0.4</v>
      </c>
    </row>
    <row r="50" spans="1:25" x14ac:dyDescent="0.2">
      <c r="A50" t="s">
        <v>94</v>
      </c>
      <c r="B50">
        <v>14</v>
      </c>
      <c r="C50" s="1">
        <v>43604</v>
      </c>
      <c r="D50" t="s">
        <v>16</v>
      </c>
      <c r="E50">
        <v>2019</v>
      </c>
      <c r="F50" t="s">
        <v>17</v>
      </c>
      <c r="G50" t="s">
        <v>35</v>
      </c>
      <c r="H50" t="s">
        <v>19</v>
      </c>
      <c r="I50" t="s">
        <v>36</v>
      </c>
      <c r="J50">
        <v>1</v>
      </c>
      <c r="K50">
        <v>1</v>
      </c>
      <c r="L50">
        <v>0</v>
      </c>
      <c r="M50">
        <v>2.7</v>
      </c>
      <c r="N50">
        <v>0.9</v>
      </c>
      <c r="O50">
        <v>1.8000000000000003</v>
      </c>
      <c r="P50">
        <v>1.8000000000000003</v>
      </c>
      <c r="Q50">
        <v>90</v>
      </c>
      <c r="R50">
        <v>1</v>
      </c>
      <c r="S50" t="s">
        <v>275</v>
      </c>
      <c r="T50">
        <v>0</v>
      </c>
      <c r="U50" t="s">
        <v>293</v>
      </c>
      <c r="V50">
        <v>0</v>
      </c>
      <c r="W50">
        <v>3240</v>
      </c>
      <c r="X50">
        <v>-1.7000000000000002</v>
      </c>
      <c r="Y50">
        <v>9.9999999999999978E-2</v>
      </c>
    </row>
    <row r="51" spans="1:25" x14ac:dyDescent="0.2">
      <c r="A51" t="s">
        <v>95</v>
      </c>
      <c r="B51">
        <v>15</v>
      </c>
      <c r="C51" s="1">
        <v>43609</v>
      </c>
      <c r="D51" t="s">
        <v>16</v>
      </c>
      <c r="E51">
        <v>2019</v>
      </c>
      <c r="F51" t="s">
        <v>17</v>
      </c>
      <c r="G51" t="s">
        <v>31</v>
      </c>
      <c r="H51" t="s">
        <v>33</v>
      </c>
      <c r="I51" t="s">
        <v>20</v>
      </c>
      <c r="J51">
        <v>4</v>
      </c>
      <c r="K51">
        <v>2</v>
      </c>
      <c r="L51">
        <v>2</v>
      </c>
      <c r="M51">
        <v>3.6</v>
      </c>
      <c r="N51">
        <v>1.4</v>
      </c>
      <c r="O51">
        <v>2.2000000000000002</v>
      </c>
      <c r="P51">
        <v>0.20000000000000018</v>
      </c>
      <c r="Q51">
        <v>90</v>
      </c>
      <c r="R51">
        <v>1</v>
      </c>
      <c r="S51" t="s">
        <v>275</v>
      </c>
      <c r="T51">
        <v>1</v>
      </c>
      <c r="U51" t="s">
        <v>293</v>
      </c>
      <c r="V51">
        <v>0</v>
      </c>
      <c r="W51">
        <v>3240</v>
      </c>
      <c r="X51">
        <v>0.39999999999999991</v>
      </c>
      <c r="Y51">
        <v>0.60000000000000009</v>
      </c>
    </row>
    <row r="52" spans="1:25" x14ac:dyDescent="0.2">
      <c r="A52" t="s">
        <v>96</v>
      </c>
      <c r="B52">
        <v>16</v>
      </c>
      <c r="C52" s="1">
        <v>43617</v>
      </c>
      <c r="D52" t="s">
        <v>16</v>
      </c>
      <c r="E52">
        <v>2019</v>
      </c>
      <c r="F52" t="s">
        <v>17</v>
      </c>
      <c r="G52" t="s">
        <v>42</v>
      </c>
      <c r="H52" t="s">
        <v>19</v>
      </c>
      <c r="I52" t="s">
        <v>20</v>
      </c>
      <c r="J52">
        <v>3</v>
      </c>
      <c r="K52">
        <v>2</v>
      </c>
      <c r="L52">
        <v>1</v>
      </c>
      <c r="M52">
        <v>2.1</v>
      </c>
      <c r="N52">
        <v>2.1</v>
      </c>
      <c r="O52">
        <v>0</v>
      </c>
      <c r="P52">
        <v>-1</v>
      </c>
      <c r="Q52">
        <v>90</v>
      </c>
      <c r="R52">
        <v>1</v>
      </c>
      <c r="S52" t="s">
        <v>275</v>
      </c>
      <c r="T52">
        <v>1</v>
      </c>
      <c r="U52" t="s">
        <v>293</v>
      </c>
      <c r="V52">
        <v>0</v>
      </c>
      <c r="W52">
        <v>3240</v>
      </c>
      <c r="X52">
        <v>0.89999999999999991</v>
      </c>
      <c r="Y52">
        <v>-0.10000000000000009</v>
      </c>
    </row>
    <row r="53" spans="1:25" x14ac:dyDescent="0.2">
      <c r="A53" t="s">
        <v>97</v>
      </c>
      <c r="B53">
        <v>17</v>
      </c>
      <c r="C53" s="1">
        <v>43644</v>
      </c>
      <c r="D53" t="s">
        <v>16</v>
      </c>
      <c r="E53">
        <v>2019</v>
      </c>
      <c r="F53" t="s">
        <v>17</v>
      </c>
      <c r="G53" t="s">
        <v>65</v>
      </c>
      <c r="H53" t="s">
        <v>19</v>
      </c>
      <c r="I53" t="s">
        <v>25</v>
      </c>
      <c r="J53">
        <v>0</v>
      </c>
      <c r="K53">
        <v>1</v>
      </c>
      <c r="L53">
        <v>-1</v>
      </c>
      <c r="M53">
        <v>0.9</v>
      </c>
      <c r="N53">
        <v>0.8</v>
      </c>
      <c r="O53">
        <v>9.9999999999999978E-2</v>
      </c>
      <c r="P53">
        <v>1.1000000000000001</v>
      </c>
      <c r="Q53">
        <v>90</v>
      </c>
      <c r="R53">
        <v>1</v>
      </c>
      <c r="S53" t="s">
        <v>275</v>
      </c>
      <c r="T53">
        <v>0</v>
      </c>
      <c r="U53" t="s">
        <v>293</v>
      </c>
      <c r="V53">
        <v>0</v>
      </c>
      <c r="W53">
        <v>3240</v>
      </c>
      <c r="X53">
        <v>-0.9</v>
      </c>
      <c r="Y53">
        <v>0.19999999999999996</v>
      </c>
    </row>
    <row r="54" spans="1:25" x14ac:dyDescent="0.2">
      <c r="A54" t="s">
        <v>98</v>
      </c>
      <c r="B54">
        <v>18</v>
      </c>
      <c r="C54" s="1">
        <v>43649</v>
      </c>
      <c r="D54" t="s">
        <v>16</v>
      </c>
      <c r="E54">
        <v>2019</v>
      </c>
      <c r="F54" t="s">
        <v>17</v>
      </c>
      <c r="G54" t="s">
        <v>62</v>
      </c>
      <c r="H54" t="s">
        <v>19</v>
      </c>
      <c r="I54" t="s">
        <v>20</v>
      </c>
      <c r="J54">
        <v>5</v>
      </c>
      <c r="K54">
        <v>1</v>
      </c>
      <c r="L54">
        <v>4</v>
      </c>
      <c r="M54">
        <v>2.2999999999999998</v>
      </c>
      <c r="N54">
        <v>3.8</v>
      </c>
      <c r="O54">
        <v>-1.5</v>
      </c>
      <c r="P54">
        <v>-5.5</v>
      </c>
      <c r="Q54">
        <v>90</v>
      </c>
      <c r="R54">
        <v>1</v>
      </c>
      <c r="S54" t="s">
        <v>275</v>
      </c>
      <c r="T54">
        <v>1</v>
      </c>
      <c r="U54" t="s">
        <v>293</v>
      </c>
      <c r="V54">
        <v>0</v>
      </c>
      <c r="W54">
        <v>3240</v>
      </c>
      <c r="X54">
        <v>2.7</v>
      </c>
      <c r="Y54">
        <v>-2.8</v>
      </c>
    </row>
    <row r="55" spans="1:25" x14ac:dyDescent="0.2">
      <c r="A55" t="s">
        <v>99</v>
      </c>
      <c r="B55">
        <v>19</v>
      </c>
      <c r="C55" s="1">
        <v>43652</v>
      </c>
      <c r="D55" t="s">
        <v>16</v>
      </c>
      <c r="E55">
        <v>2019</v>
      </c>
      <c r="F55" t="s">
        <v>17</v>
      </c>
      <c r="G55" t="s">
        <v>29</v>
      </c>
      <c r="H55" t="s">
        <v>33</v>
      </c>
      <c r="I55" t="s">
        <v>20</v>
      </c>
      <c r="J55">
        <v>6</v>
      </c>
      <c r="K55">
        <v>1</v>
      </c>
      <c r="L55">
        <v>5</v>
      </c>
      <c r="M55">
        <v>2.9</v>
      </c>
      <c r="N55">
        <v>0.4</v>
      </c>
      <c r="O55">
        <v>2.5</v>
      </c>
      <c r="P55">
        <v>-2.5</v>
      </c>
      <c r="Q55">
        <v>90</v>
      </c>
      <c r="R55">
        <v>1</v>
      </c>
      <c r="S55" t="s">
        <v>275</v>
      </c>
      <c r="T55">
        <v>1</v>
      </c>
      <c r="U55" t="s">
        <v>293</v>
      </c>
      <c r="V55">
        <v>0</v>
      </c>
      <c r="W55">
        <v>3240</v>
      </c>
      <c r="X55">
        <v>3.1</v>
      </c>
      <c r="Y55">
        <v>0.6</v>
      </c>
    </row>
    <row r="56" spans="1:25" x14ac:dyDescent="0.2">
      <c r="A56" t="s">
        <v>100</v>
      </c>
      <c r="B56">
        <v>20</v>
      </c>
      <c r="C56" s="1">
        <v>43658</v>
      </c>
      <c r="D56" t="s">
        <v>16</v>
      </c>
      <c r="E56">
        <v>2019</v>
      </c>
      <c r="F56" t="s">
        <v>17</v>
      </c>
      <c r="G56" t="s">
        <v>53</v>
      </c>
      <c r="H56" t="s">
        <v>19</v>
      </c>
      <c r="I56" t="s">
        <v>20</v>
      </c>
      <c r="J56">
        <v>3</v>
      </c>
      <c r="K56">
        <v>1</v>
      </c>
      <c r="L56">
        <v>2</v>
      </c>
      <c r="M56">
        <v>1.5</v>
      </c>
      <c r="N56">
        <v>2.2000000000000002</v>
      </c>
      <c r="O56">
        <v>-0.70000000000000018</v>
      </c>
      <c r="P56">
        <v>-2.7</v>
      </c>
      <c r="Q56">
        <v>0</v>
      </c>
      <c r="R56">
        <v>0</v>
      </c>
      <c r="S56" t="s">
        <v>276</v>
      </c>
      <c r="T56">
        <v>1</v>
      </c>
      <c r="U56" t="s">
        <v>293</v>
      </c>
      <c r="V56">
        <v>0</v>
      </c>
      <c r="W56">
        <v>3240</v>
      </c>
      <c r="X56">
        <v>1.5</v>
      </c>
      <c r="Y56">
        <v>-1.2000000000000002</v>
      </c>
    </row>
    <row r="57" spans="1:25" x14ac:dyDescent="0.2">
      <c r="A57" t="s">
        <v>101</v>
      </c>
      <c r="B57">
        <v>21</v>
      </c>
      <c r="C57" s="1">
        <v>43665</v>
      </c>
      <c r="D57" t="s">
        <v>16</v>
      </c>
      <c r="E57">
        <v>2019</v>
      </c>
      <c r="F57" t="s">
        <v>17</v>
      </c>
      <c r="G57" t="s">
        <v>24</v>
      </c>
      <c r="H57" t="s">
        <v>19</v>
      </c>
      <c r="I57" t="s">
        <v>25</v>
      </c>
      <c r="J57">
        <v>2</v>
      </c>
      <c r="K57">
        <v>3</v>
      </c>
      <c r="L57">
        <v>-1</v>
      </c>
      <c r="M57">
        <v>1.9</v>
      </c>
      <c r="N57">
        <v>0.9</v>
      </c>
      <c r="O57">
        <v>0.99999999999999989</v>
      </c>
      <c r="P57">
        <v>2</v>
      </c>
      <c r="Q57">
        <v>90</v>
      </c>
      <c r="R57">
        <v>1</v>
      </c>
      <c r="S57" t="s">
        <v>275</v>
      </c>
      <c r="T57">
        <v>0</v>
      </c>
      <c r="U57" t="s">
        <v>293</v>
      </c>
      <c r="V57">
        <v>0</v>
      </c>
      <c r="W57">
        <v>3240</v>
      </c>
      <c r="X57">
        <v>0.10000000000000009</v>
      </c>
      <c r="Y57">
        <v>2.1</v>
      </c>
    </row>
    <row r="58" spans="1:25" x14ac:dyDescent="0.2">
      <c r="A58" t="s">
        <v>102</v>
      </c>
      <c r="B58">
        <v>22</v>
      </c>
      <c r="C58" s="1">
        <v>43672</v>
      </c>
      <c r="D58" t="s">
        <v>16</v>
      </c>
      <c r="E58">
        <v>2019</v>
      </c>
      <c r="F58" t="s">
        <v>17</v>
      </c>
      <c r="G58" t="s">
        <v>27</v>
      </c>
      <c r="H58" t="s">
        <v>33</v>
      </c>
      <c r="I58" t="s">
        <v>20</v>
      </c>
      <c r="J58">
        <v>4</v>
      </c>
      <c r="K58">
        <v>3</v>
      </c>
      <c r="L58">
        <v>1</v>
      </c>
      <c r="M58">
        <v>2.1</v>
      </c>
      <c r="N58">
        <v>1.1000000000000001</v>
      </c>
      <c r="O58">
        <v>1</v>
      </c>
      <c r="P58">
        <v>0</v>
      </c>
      <c r="Q58">
        <v>90</v>
      </c>
      <c r="R58">
        <v>1</v>
      </c>
      <c r="S58" t="s">
        <v>275</v>
      </c>
      <c r="T58">
        <v>1</v>
      </c>
      <c r="U58" t="s">
        <v>293</v>
      </c>
      <c r="V58">
        <v>0</v>
      </c>
      <c r="W58">
        <v>3240</v>
      </c>
      <c r="X58">
        <v>1.9</v>
      </c>
      <c r="Y58">
        <v>1.9</v>
      </c>
    </row>
    <row r="59" spans="1:25" x14ac:dyDescent="0.2">
      <c r="A59" t="s">
        <v>103</v>
      </c>
      <c r="B59">
        <v>23</v>
      </c>
      <c r="C59" s="1">
        <v>43680</v>
      </c>
      <c r="D59" t="s">
        <v>16</v>
      </c>
      <c r="E59">
        <v>2019</v>
      </c>
      <c r="F59" t="s">
        <v>17</v>
      </c>
      <c r="G59" t="s">
        <v>70</v>
      </c>
      <c r="H59" t="s">
        <v>19</v>
      </c>
      <c r="I59" t="s">
        <v>20</v>
      </c>
      <c r="J59">
        <v>2</v>
      </c>
      <c r="K59">
        <v>0</v>
      </c>
      <c r="L59">
        <v>2</v>
      </c>
      <c r="M59">
        <v>3.1</v>
      </c>
      <c r="N59">
        <v>0.7</v>
      </c>
      <c r="O59">
        <v>2.4000000000000004</v>
      </c>
      <c r="P59">
        <v>0.40000000000000036</v>
      </c>
      <c r="Q59">
        <v>90</v>
      </c>
      <c r="R59">
        <v>1</v>
      </c>
      <c r="S59" t="s">
        <v>275</v>
      </c>
      <c r="T59">
        <v>1</v>
      </c>
      <c r="U59" t="s">
        <v>293</v>
      </c>
      <c r="V59">
        <v>0</v>
      </c>
      <c r="W59">
        <v>3240</v>
      </c>
      <c r="X59">
        <v>-1.1000000000000001</v>
      </c>
      <c r="Y59">
        <v>-0.7</v>
      </c>
    </row>
    <row r="60" spans="1:25" x14ac:dyDescent="0.2">
      <c r="A60" t="s">
        <v>104</v>
      </c>
      <c r="B60">
        <v>24</v>
      </c>
      <c r="C60" s="1">
        <v>43688</v>
      </c>
      <c r="D60" t="s">
        <v>16</v>
      </c>
      <c r="E60">
        <v>2019</v>
      </c>
      <c r="F60" t="s">
        <v>17</v>
      </c>
      <c r="G60" t="s">
        <v>60</v>
      </c>
      <c r="H60" t="s">
        <v>33</v>
      </c>
      <c r="I60" t="s">
        <v>20</v>
      </c>
      <c r="J60">
        <v>4</v>
      </c>
      <c r="K60">
        <v>2</v>
      </c>
      <c r="L60">
        <v>2</v>
      </c>
      <c r="M60">
        <v>2.5</v>
      </c>
      <c r="N60">
        <v>1.8</v>
      </c>
      <c r="O60">
        <v>0.7</v>
      </c>
      <c r="P60">
        <v>-1.3</v>
      </c>
      <c r="Q60">
        <v>90</v>
      </c>
      <c r="R60">
        <v>1</v>
      </c>
      <c r="S60" t="s">
        <v>275</v>
      </c>
      <c r="T60">
        <v>1</v>
      </c>
      <c r="U60" t="s">
        <v>293</v>
      </c>
      <c r="V60">
        <v>0</v>
      </c>
      <c r="W60">
        <v>3240</v>
      </c>
      <c r="X60">
        <v>1.5</v>
      </c>
      <c r="Y60">
        <v>0.19999999999999996</v>
      </c>
    </row>
    <row r="61" spans="1:25" x14ac:dyDescent="0.2">
      <c r="A61" t="s">
        <v>105</v>
      </c>
      <c r="B61">
        <v>25</v>
      </c>
      <c r="C61" s="1">
        <v>43694</v>
      </c>
      <c r="D61" t="s">
        <v>16</v>
      </c>
      <c r="E61">
        <v>2019</v>
      </c>
      <c r="F61" t="s">
        <v>17</v>
      </c>
      <c r="G61" t="s">
        <v>22</v>
      </c>
      <c r="H61" t="s">
        <v>19</v>
      </c>
      <c r="I61" t="s">
        <v>20</v>
      </c>
      <c r="J61">
        <v>2</v>
      </c>
      <c r="K61">
        <v>0</v>
      </c>
      <c r="L61">
        <v>2</v>
      </c>
      <c r="M61">
        <v>3</v>
      </c>
      <c r="N61">
        <v>0.7</v>
      </c>
      <c r="O61">
        <v>2.2999999999999998</v>
      </c>
      <c r="P61">
        <v>0.29999999999999982</v>
      </c>
      <c r="Q61">
        <v>90</v>
      </c>
      <c r="R61">
        <v>1</v>
      </c>
      <c r="S61" t="s">
        <v>275</v>
      </c>
      <c r="T61">
        <v>1</v>
      </c>
      <c r="U61" t="s">
        <v>293</v>
      </c>
      <c r="V61">
        <v>0</v>
      </c>
      <c r="W61">
        <v>3240</v>
      </c>
      <c r="X61">
        <v>-1</v>
      </c>
      <c r="Y61">
        <v>-0.7</v>
      </c>
    </row>
    <row r="62" spans="1:25" x14ac:dyDescent="0.2">
      <c r="A62" t="s">
        <v>106</v>
      </c>
      <c r="B62">
        <v>26</v>
      </c>
      <c r="C62" s="1">
        <v>43698</v>
      </c>
      <c r="D62" t="s">
        <v>16</v>
      </c>
      <c r="E62">
        <v>2019</v>
      </c>
      <c r="F62" t="s">
        <v>17</v>
      </c>
      <c r="G62" t="s">
        <v>47</v>
      </c>
      <c r="H62" t="s">
        <v>33</v>
      </c>
      <c r="I62" t="s">
        <v>20</v>
      </c>
      <c r="J62">
        <v>4</v>
      </c>
      <c r="K62">
        <v>0</v>
      </c>
      <c r="L62">
        <v>4</v>
      </c>
      <c r="M62">
        <v>3.8</v>
      </c>
      <c r="N62">
        <v>1.8</v>
      </c>
      <c r="O62">
        <v>1.9999999999999998</v>
      </c>
      <c r="P62">
        <v>-2</v>
      </c>
      <c r="Q62">
        <v>90</v>
      </c>
      <c r="R62">
        <v>1</v>
      </c>
      <c r="S62" t="s">
        <v>275</v>
      </c>
      <c r="T62">
        <v>1</v>
      </c>
      <c r="U62" t="s">
        <v>293</v>
      </c>
      <c r="V62">
        <v>0</v>
      </c>
      <c r="W62">
        <v>3240</v>
      </c>
      <c r="X62">
        <v>0.20000000000000018</v>
      </c>
      <c r="Y62">
        <v>-1.8</v>
      </c>
    </row>
    <row r="63" spans="1:25" x14ac:dyDescent="0.2">
      <c r="A63" t="s">
        <v>107</v>
      </c>
      <c r="B63">
        <v>27</v>
      </c>
      <c r="C63" s="1">
        <v>43702</v>
      </c>
      <c r="D63" t="s">
        <v>16</v>
      </c>
      <c r="E63">
        <v>2019</v>
      </c>
      <c r="F63" t="s">
        <v>17</v>
      </c>
      <c r="G63" t="s">
        <v>24</v>
      </c>
      <c r="H63" t="s">
        <v>33</v>
      </c>
      <c r="I63" t="s">
        <v>36</v>
      </c>
      <c r="J63">
        <v>3</v>
      </c>
      <c r="K63">
        <v>3</v>
      </c>
      <c r="L63">
        <v>0</v>
      </c>
      <c r="M63">
        <v>3.9</v>
      </c>
      <c r="N63">
        <v>1.4</v>
      </c>
      <c r="O63">
        <v>2.5</v>
      </c>
      <c r="P63">
        <v>2.5</v>
      </c>
      <c r="Q63">
        <v>61</v>
      </c>
      <c r="R63">
        <v>1</v>
      </c>
      <c r="S63" t="s">
        <v>277</v>
      </c>
      <c r="T63">
        <v>0</v>
      </c>
      <c r="U63" t="s">
        <v>293</v>
      </c>
      <c r="V63">
        <v>0</v>
      </c>
      <c r="W63">
        <v>3240</v>
      </c>
      <c r="X63">
        <v>-0.89999999999999991</v>
      </c>
      <c r="Y63">
        <v>1.6</v>
      </c>
    </row>
    <row r="64" spans="1:25" x14ac:dyDescent="0.2">
      <c r="A64" t="s">
        <v>108</v>
      </c>
      <c r="B64">
        <v>28</v>
      </c>
      <c r="C64" s="1">
        <v>43709</v>
      </c>
      <c r="D64" t="s">
        <v>16</v>
      </c>
      <c r="E64">
        <v>2019</v>
      </c>
      <c r="F64" t="s">
        <v>17</v>
      </c>
      <c r="G64" t="s">
        <v>38</v>
      </c>
      <c r="H64" t="s">
        <v>33</v>
      </c>
      <c r="I64" t="s">
        <v>25</v>
      </c>
      <c r="J64">
        <v>0</v>
      </c>
      <c r="K64">
        <v>2</v>
      </c>
      <c r="L64">
        <v>-2</v>
      </c>
      <c r="M64">
        <v>2.1</v>
      </c>
      <c r="N64">
        <v>0.8</v>
      </c>
      <c r="O64">
        <v>1.3</v>
      </c>
      <c r="P64">
        <v>3.3</v>
      </c>
      <c r="Q64">
        <v>0</v>
      </c>
      <c r="R64">
        <v>0</v>
      </c>
      <c r="S64" t="s">
        <v>276</v>
      </c>
      <c r="T64">
        <v>0</v>
      </c>
      <c r="U64" t="s">
        <v>293</v>
      </c>
      <c r="V64">
        <v>0</v>
      </c>
      <c r="W64">
        <v>3240</v>
      </c>
      <c r="X64">
        <v>-2.1</v>
      </c>
      <c r="Y64">
        <v>1.2</v>
      </c>
    </row>
    <row r="65" spans="1:25" x14ac:dyDescent="0.2">
      <c r="A65" t="s">
        <v>109</v>
      </c>
      <c r="B65">
        <v>29</v>
      </c>
      <c r="C65" s="1">
        <v>43715</v>
      </c>
      <c r="D65" t="s">
        <v>16</v>
      </c>
      <c r="E65">
        <v>2019</v>
      </c>
      <c r="F65" t="s">
        <v>17</v>
      </c>
      <c r="G65" t="s">
        <v>55</v>
      </c>
      <c r="H65" t="s">
        <v>19</v>
      </c>
      <c r="I65" t="s">
        <v>36</v>
      </c>
      <c r="J65">
        <v>2</v>
      </c>
      <c r="K65">
        <v>2</v>
      </c>
      <c r="L65">
        <v>0</v>
      </c>
      <c r="M65">
        <v>1.5</v>
      </c>
      <c r="N65">
        <v>1.5</v>
      </c>
      <c r="O65">
        <v>0</v>
      </c>
      <c r="P65">
        <v>0</v>
      </c>
      <c r="Q65">
        <v>0</v>
      </c>
      <c r="R65">
        <v>0</v>
      </c>
      <c r="S65" t="s">
        <v>276</v>
      </c>
      <c r="T65">
        <v>0</v>
      </c>
      <c r="U65" t="s">
        <v>293</v>
      </c>
      <c r="V65">
        <v>0</v>
      </c>
      <c r="W65">
        <v>3240</v>
      </c>
      <c r="X65">
        <v>0.5</v>
      </c>
      <c r="Y65">
        <v>0.5</v>
      </c>
    </row>
    <row r="66" spans="1:25" x14ac:dyDescent="0.2">
      <c r="A66" t="s">
        <v>110</v>
      </c>
      <c r="B66">
        <v>30</v>
      </c>
      <c r="C66" s="1">
        <v>43722</v>
      </c>
      <c r="D66" t="s">
        <v>16</v>
      </c>
      <c r="E66">
        <v>2019</v>
      </c>
      <c r="F66" t="s">
        <v>17</v>
      </c>
      <c r="G66" t="s">
        <v>51</v>
      </c>
      <c r="H66" t="s">
        <v>19</v>
      </c>
      <c r="I66" t="s">
        <v>36</v>
      </c>
      <c r="J66">
        <v>1</v>
      </c>
      <c r="K66">
        <v>1</v>
      </c>
      <c r="L66">
        <v>0</v>
      </c>
      <c r="M66">
        <v>1.9</v>
      </c>
      <c r="N66">
        <v>1.2</v>
      </c>
      <c r="O66">
        <v>0.7</v>
      </c>
      <c r="P66">
        <v>0.7</v>
      </c>
      <c r="Q66">
        <v>66</v>
      </c>
      <c r="R66">
        <v>1</v>
      </c>
      <c r="S66" t="s">
        <v>277</v>
      </c>
      <c r="T66">
        <v>0</v>
      </c>
      <c r="U66" t="s">
        <v>293</v>
      </c>
      <c r="V66">
        <v>0</v>
      </c>
      <c r="W66">
        <v>3240</v>
      </c>
      <c r="X66">
        <v>-0.89999999999999991</v>
      </c>
      <c r="Y66">
        <v>-0.19999999999999996</v>
      </c>
    </row>
    <row r="67" spans="1:25" x14ac:dyDescent="0.2">
      <c r="A67" t="s">
        <v>111</v>
      </c>
      <c r="B67">
        <v>31</v>
      </c>
      <c r="C67" s="1">
        <v>43729</v>
      </c>
      <c r="D67" t="s">
        <v>16</v>
      </c>
      <c r="E67">
        <v>2019</v>
      </c>
      <c r="F67" t="s">
        <v>17</v>
      </c>
      <c r="G67" t="s">
        <v>68</v>
      </c>
      <c r="H67" t="s">
        <v>33</v>
      </c>
      <c r="I67" t="s">
        <v>36</v>
      </c>
      <c r="J67">
        <v>1</v>
      </c>
      <c r="K67">
        <v>1</v>
      </c>
      <c r="L67">
        <v>0</v>
      </c>
      <c r="M67">
        <v>1.8</v>
      </c>
      <c r="N67">
        <v>0.6</v>
      </c>
      <c r="O67">
        <v>1.2000000000000002</v>
      </c>
      <c r="P67">
        <v>1.2000000000000002</v>
      </c>
      <c r="Q67">
        <v>90</v>
      </c>
      <c r="R67">
        <v>1</v>
      </c>
      <c r="S67" t="s">
        <v>275</v>
      </c>
      <c r="T67">
        <v>0</v>
      </c>
      <c r="U67" t="s">
        <v>293</v>
      </c>
      <c r="V67">
        <v>0</v>
      </c>
      <c r="W67">
        <v>3240</v>
      </c>
      <c r="X67">
        <v>-0.8</v>
      </c>
      <c r="Y67">
        <v>0.4</v>
      </c>
    </row>
    <row r="68" spans="1:25" x14ac:dyDescent="0.2">
      <c r="A68" t="s">
        <v>112</v>
      </c>
      <c r="B68">
        <v>32</v>
      </c>
      <c r="C68" s="1">
        <v>43733</v>
      </c>
      <c r="D68" t="s">
        <v>16</v>
      </c>
      <c r="E68">
        <v>2019</v>
      </c>
      <c r="F68" t="s">
        <v>17</v>
      </c>
      <c r="G68" t="s">
        <v>53</v>
      </c>
      <c r="H68" t="s">
        <v>33</v>
      </c>
      <c r="I68" t="s">
        <v>20</v>
      </c>
      <c r="J68">
        <v>3</v>
      </c>
      <c r="K68">
        <v>1</v>
      </c>
      <c r="L68">
        <v>2</v>
      </c>
      <c r="M68">
        <v>1.9</v>
      </c>
      <c r="N68">
        <v>0.7</v>
      </c>
      <c r="O68">
        <v>1.2</v>
      </c>
      <c r="P68">
        <v>-0.8</v>
      </c>
      <c r="Q68">
        <v>90</v>
      </c>
      <c r="R68">
        <v>1</v>
      </c>
      <c r="S68" t="s">
        <v>275</v>
      </c>
      <c r="T68">
        <v>1</v>
      </c>
      <c r="U68" t="s">
        <v>293</v>
      </c>
      <c r="V68">
        <v>0</v>
      </c>
      <c r="W68">
        <v>3240</v>
      </c>
      <c r="X68">
        <v>1.1000000000000001</v>
      </c>
      <c r="Y68">
        <v>0.30000000000000004</v>
      </c>
    </row>
    <row r="69" spans="1:25" x14ac:dyDescent="0.2">
      <c r="A69" t="s">
        <v>113</v>
      </c>
      <c r="B69">
        <v>33</v>
      </c>
      <c r="C69" s="1">
        <v>43737</v>
      </c>
      <c r="D69" t="s">
        <v>16</v>
      </c>
      <c r="E69">
        <v>2019</v>
      </c>
      <c r="F69" t="s">
        <v>17</v>
      </c>
      <c r="G69" t="s">
        <v>38</v>
      </c>
      <c r="H69" t="s">
        <v>19</v>
      </c>
      <c r="I69" t="s">
        <v>36</v>
      </c>
      <c r="J69">
        <v>1</v>
      </c>
      <c r="K69">
        <v>1</v>
      </c>
      <c r="L69">
        <v>0</v>
      </c>
      <c r="M69">
        <v>1.7</v>
      </c>
      <c r="N69">
        <v>2.1</v>
      </c>
      <c r="O69">
        <v>-0.40000000000000013</v>
      </c>
      <c r="P69">
        <v>-0.40000000000000013</v>
      </c>
      <c r="Q69">
        <v>90</v>
      </c>
      <c r="R69">
        <v>1</v>
      </c>
      <c r="S69" t="s">
        <v>275</v>
      </c>
      <c r="T69">
        <v>0</v>
      </c>
      <c r="U69" t="s">
        <v>293</v>
      </c>
      <c r="V69">
        <v>0</v>
      </c>
      <c r="W69">
        <v>3240</v>
      </c>
      <c r="X69">
        <v>-0.7</v>
      </c>
      <c r="Y69">
        <v>-1.1000000000000001</v>
      </c>
    </row>
    <row r="70" spans="1:25" x14ac:dyDescent="0.2">
      <c r="A70" t="s">
        <v>114</v>
      </c>
      <c r="B70">
        <v>34</v>
      </c>
      <c r="C70" s="1">
        <v>43744</v>
      </c>
      <c r="D70" t="s">
        <v>16</v>
      </c>
      <c r="E70">
        <v>2019</v>
      </c>
      <c r="F70" t="s">
        <v>17</v>
      </c>
      <c r="G70" t="s">
        <v>65</v>
      </c>
      <c r="H70" t="s">
        <v>33</v>
      </c>
      <c r="I70" t="s">
        <v>20</v>
      </c>
      <c r="J70">
        <v>3</v>
      </c>
      <c r="K70">
        <v>1</v>
      </c>
      <c r="L70">
        <v>2</v>
      </c>
      <c r="M70">
        <v>1.3</v>
      </c>
      <c r="N70">
        <v>1.5</v>
      </c>
      <c r="O70">
        <v>-0.19999999999999996</v>
      </c>
      <c r="P70">
        <v>-2.2000000000000002</v>
      </c>
      <c r="Q70">
        <v>90</v>
      </c>
      <c r="R70">
        <v>1</v>
      </c>
      <c r="S70" t="s">
        <v>275</v>
      </c>
      <c r="T70">
        <v>1</v>
      </c>
      <c r="U70" t="s">
        <v>293</v>
      </c>
      <c r="V70">
        <v>0</v>
      </c>
      <c r="W70">
        <v>3240</v>
      </c>
      <c r="X70">
        <v>1.7</v>
      </c>
      <c r="Y70">
        <v>-0.5</v>
      </c>
    </row>
    <row r="71" spans="1:25" x14ac:dyDescent="0.2">
      <c r="A71" t="s">
        <v>115</v>
      </c>
      <c r="B71">
        <v>35</v>
      </c>
      <c r="C71" s="1">
        <v>43762</v>
      </c>
      <c r="D71" t="s">
        <v>16</v>
      </c>
      <c r="E71">
        <v>2019</v>
      </c>
      <c r="F71" t="s">
        <v>116</v>
      </c>
      <c r="G71" t="s">
        <v>24</v>
      </c>
      <c r="H71" t="s">
        <v>33</v>
      </c>
      <c r="I71" t="s">
        <v>20</v>
      </c>
      <c r="J71">
        <v>5</v>
      </c>
      <c r="K71">
        <v>3</v>
      </c>
      <c r="L71">
        <v>2</v>
      </c>
      <c r="M71">
        <v>3.1</v>
      </c>
      <c r="N71">
        <v>1.7</v>
      </c>
      <c r="O71">
        <v>1.4000000000000001</v>
      </c>
      <c r="P71">
        <v>-0.59999999999999987</v>
      </c>
      <c r="Q71">
        <v>90</v>
      </c>
      <c r="R71">
        <v>1</v>
      </c>
      <c r="S71" t="s">
        <v>275</v>
      </c>
      <c r="T71">
        <v>1</v>
      </c>
      <c r="U71" t="s">
        <v>293</v>
      </c>
      <c r="V71">
        <v>0</v>
      </c>
      <c r="W71">
        <v>3240</v>
      </c>
      <c r="X71">
        <v>1.9</v>
      </c>
      <c r="Y71">
        <v>1.3</v>
      </c>
    </row>
    <row r="72" spans="1:25" x14ac:dyDescent="0.2">
      <c r="A72" t="s">
        <v>117</v>
      </c>
      <c r="B72">
        <v>36</v>
      </c>
      <c r="C72" s="1">
        <v>43767</v>
      </c>
      <c r="D72" t="s">
        <v>16</v>
      </c>
      <c r="E72">
        <v>2019</v>
      </c>
      <c r="F72" t="s">
        <v>118</v>
      </c>
      <c r="G72" t="s">
        <v>18</v>
      </c>
      <c r="H72" t="s">
        <v>33</v>
      </c>
      <c r="I72" t="s">
        <v>25</v>
      </c>
      <c r="J72">
        <v>1</v>
      </c>
      <c r="K72">
        <v>3</v>
      </c>
      <c r="L72">
        <v>-2</v>
      </c>
      <c r="M72">
        <v>0.7</v>
      </c>
      <c r="N72">
        <v>1.2</v>
      </c>
      <c r="O72">
        <v>-0.5</v>
      </c>
      <c r="P72">
        <v>1.5</v>
      </c>
      <c r="Q72">
        <v>90</v>
      </c>
      <c r="R72">
        <v>1</v>
      </c>
      <c r="S72" t="s">
        <v>275</v>
      </c>
      <c r="T72">
        <v>0</v>
      </c>
      <c r="U72" t="s">
        <v>293</v>
      </c>
      <c r="V72">
        <v>0</v>
      </c>
      <c r="W72">
        <v>3240</v>
      </c>
      <c r="X72">
        <v>0.30000000000000004</v>
      </c>
      <c r="Y72">
        <v>1.8</v>
      </c>
    </row>
    <row r="73" spans="1:25" x14ac:dyDescent="0.2">
      <c r="A73" t="s">
        <v>119</v>
      </c>
      <c r="B73">
        <v>1</v>
      </c>
      <c r="C73" s="1">
        <v>43891</v>
      </c>
      <c r="D73" t="s">
        <v>16</v>
      </c>
      <c r="E73">
        <v>2020</v>
      </c>
      <c r="F73" t="s">
        <v>17</v>
      </c>
      <c r="G73" t="s">
        <v>120</v>
      </c>
      <c r="H73" t="s">
        <v>33</v>
      </c>
      <c r="I73" t="s">
        <v>20</v>
      </c>
      <c r="J73">
        <v>1</v>
      </c>
      <c r="K73">
        <v>0</v>
      </c>
      <c r="L73">
        <v>1</v>
      </c>
      <c r="M73">
        <v>2.5</v>
      </c>
      <c r="N73">
        <v>1.7</v>
      </c>
      <c r="O73">
        <v>0.8</v>
      </c>
      <c r="P73">
        <v>-0.19999999999999996</v>
      </c>
      <c r="Q73">
        <v>90</v>
      </c>
      <c r="R73">
        <v>1</v>
      </c>
      <c r="S73" t="s">
        <v>275</v>
      </c>
      <c r="T73">
        <v>1</v>
      </c>
      <c r="U73" t="s">
        <v>294</v>
      </c>
      <c r="V73">
        <v>0</v>
      </c>
      <c r="W73">
        <v>2070</v>
      </c>
      <c r="X73">
        <v>-1.5</v>
      </c>
      <c r="Y73">
        <v>-1.7</v>
      </c>
    </row>
    <row r="74" spans="1:25" x14ac:dyDescent="0.2">
      <c r="A74" t="s">
        <v>121</v>
      </c>
      <c r="B74">
        <v>2</v>
      </c>
      <c r="C74" s="1">
        <v>43898</v>
      </c>
      <c r="D74" t="s">
        <v>16</v>
      </c>
      <c r="E74">
        <v>2020</v>
      </c>
      <c r="F74" t="s">
        <v>17</v>
      </c>
      <c r="G74" t="s">
        <v>51</v>
      </c>
      <c r="H74" t="s">
        <v>33</v>
      </c>
      <c r="I74" t="s">
        <v>36</v>
      </c>
      <c r="J74">
        <v>3</v>
      </c>
      <c r="K74">
        <v>3</v>
      </c>
      <c r="L74">
        <v>0</v>
      </c>
      <c r="M74">
        <v>2.8</v>
      </c>
      <c r="N74">
        <v>1</v>
      </c>
      <c r="O74">
        <v>1.7999999999999998</v>
      </c>
      <c r="P74">
        <v>1.7999999999999998</v>
      </c>
      <c r="Q74">
        <v>90</v>
      </c>
      <c r="R74">
        <v>1</v>
      </c>
      <c r="S74" t="s">
        <v>275</v>
      </c>
      <c r="T74">
        <v>0</v>
      </c>
      <c r="U74" t="s">
        <v>294</v>
      </c>
      <c r="V74">
        <v>0</v>
      </c>
      <c r="W74">
        <v>2070</v>
      </c>
      <c r="X74">
        <v>0.20000000000000018</v>
      </c>
      <c r="Y74">
        <v>2</v>
      </c>
    </row>
    <row r="75" spans="1:25" x14ac:dyDescent="0.2">
      <c r="A75" t="s">
        <v>122</v>
      </c>
      <c r="B75">
        <v>3</v>
      </c>
      <c r="C75" s="1">
        <v>44025</v>
      </c>
      <c r="D75" t="s">
        <v>16</v>
      </c>
      <c r="E75">
        <v>2020</v>
      </c>
      <c r="F75" t="s">
        <v>123</v>
      </c>
      <c r="G75" t="s">
        <v>53</v>
      </c>
      <c r="H75" t="s">
        <v>33</v>
      </c>
      <c r="I75" t="s">
        <v>36</v>
      </c>
      <c r="J75">
        <v>3</v>
      </c>
      <c r="K75">
        <v>3</v>
      </c>
      <c r="L75">
        <v>0</v>
      </c>
      <c r="M75">
        <v>2.5</v>
      </c>
      <c r="N75">
        <v>1.5</v>
      </c>
      <c r="O75">
        <v>1</v>
      </c>
      <c r="P75">
        <v>1</v>
      </c>
      <c r="Q75">
        <v>0</v>
      </c>
      <c r="R75">
        <v>0</v>
      </c>
      <c r="S75" t="s">
        <v>276</v>
      </c>
      <c r="T75">
        <v>0</v>
      </c>
      <c r="U75" t="s">
        <v>294</v>
      </c>
      <c r="V75">
        <v>0</v>
      </c>
      <c r="W75">
        <v>2070</v>
      </c>
      <c r="X75">
        <v>0.5</v>
      </c>
      <c r="Y75">
        <v>1.5</v>
      </c>
    </row>
    <row r="76" spans="1:25" x14ac:dyDescent="0.2">
      <c r="A76" t="s">
        <v>124</v>
      </c>
      <c r="B76">
        <v>4</v>
      </c>
      <c r="C76" s="1">
        <v>44030</v>
      </c>
      <c r="D76" t="s">
        <v>16</v>
      </c>
      <c r="E76">
        <v>2020</v>
      </c>
      <c r="F76" t="s">
        <v>123</v>
      </c>
      <c r="G76" t="s">
        <v>24</v>
      </c>
      <c r="H76" t="s">
        <v>33</v>
      </c>
      <c r="I76" t="s">
        <v>20</v>
      </c>
      <c r="J76">
        <v>6</v>
      </c>
      <c r="K76">
        <v>2</v>
      </c>
      <c r="L76">
        <v>4</v>
      </c>
      <c r="M76">
        <v>3.3</v>
      </c>
      <c r="N76">
        <v>1</v>
      </c>
      <c r="O76">
        <v>2.2999999999999998</v>
      </c>
      <c r="P76">
        <v>-1.7000000000000002</v>
      </c>
      <c r="Q76">
        <v>0</v>
      </c>
      <c r="R76">
        <v>0</v>
      </c>
      <c r="S76" t="s">
        <v>276</v>
      </c>
      <c r="T76">
        <v>1</v>
      </c>
      <c r="U76" t="s">
        <v>294</v>
      </c>
      <c r="V76">
        <v>0</v>
      </c>
      <c r="W76">
        <v>2070</v>
      </c>
      <c r="X76">
        <v>2.7</v>
      </c>
      <c r="Y76">
        <v>1</v>
      </c>
    </row>
    <row r="77" spans="1:25" x14ac:dyDescent="0.2">
      <c r="A77" t="s">
        <v>125</v>
      </c>
      <c r="B77">
        <v>5</v>
      </c>
      <c r="C77" s="1">
        <v>44035</v>
      </c>
      <c r="D77" t="s">
        <v>16</v>
      </c>
      <c r="E77">
        <v>2020</v>
      </c>
      <c r="F77" t="s">
        <v>123</v>
      </c>
      <c r="G77" t="s">
        <v>42</v>
      </c>
      <c r="H77" t="s">
        <v>33</v>
      </c>
      <c r="I77" t="s">
        <v>36</v>
      </c>
      <c r="J77">
        <v>2</v>
      </c>
      <c r="K77">
        <v>2</v>
      </c>
      <c r="L77">
        <v>0</v>
      </c>
      <c r="M77">
        <v>1</v>
      </c>
      <c r="N77">
        <v>1.9</v>
      </c>
      <c r="O77">
        <v>-0.89999999999999991</v>
      </c>
      <c r="P77">
        <v>-0.89999999999999991</v>
      </c>
      <c r="Q77">
        <v>0</v>
      </c>
      <c r="R77">
        <v>0</v>
      </c>
      <c r="S77" t="s">
        <v>276</v>
      </c>
      <c r="T77">
        <v>0</v>
      </c>
      <c r="U77" t="s">
        <v>294</v>
      </c>
      <c r="V77">
        <v>0</v>
      </c>
      <c r="W77">
        <v>2070</v>
      </c>
      <c r="X77">
        <v>1</v>
      </c>
      <c r="Y77">
        <v>0.10000000000000009</v>
      </c>
    </row>
    <row r="78" spans="1:25" x14ac:dyDescent="0.2">
      <c r="A78" t="s">
        <v>126</v>
      </c>
      <c r="B78">
        <v>6</v>
      </c>
      <c r="C78" s="1">
        <v>44065</v>
      </c>
      <c r="D78" t="s">
        <v>16</v>
      </c>
      <c r="E78">
        <v>2020</v>
      </c>
      <c r="F78" t="s">
        <v>17</v>
      </c>
      <c r="G78" t="s">
        <v>24</v>
      </c>
      <c r="H78" t="s">
        <v>33</v>
      </c>
      <c r="I78" t="s">
        <v>25</v>
      </c>
      <c r="J78">
        <v>0</v>
      </c>
      <c r="K78">
        <v>2</v>
      </c>
      <c r="L78">
        <v>-2</v>
      </c>
      <c r="M78">
        <v>0.4</v>
      </c>
      <c r="N78">
        <v>1.6</v>
      </c>
      <c r="O78">
        <v>-1.2000000000000002</v>
      </c>
      <c r="P78">
        <v>0.79999999999999982</v>
      </c>
      <c r="Q78">
        <v>58</v>
      </c>
      <c r="R78">
        <v>1</v>
      </c>
      <c r="S78" t="s">
        <v>277</v>
      </c>
      <c r="T78">
        <v>0</v>
      </c>
      <c r="U78" t="s">
        <v>294</v>
      </c>
      <c r="V78">
        <v>0</v>
      </c>
      <c r="W78">
        <v>2070</v>
      </c>
      <c r="X78">
        <v>-0.4</v>
      </c>
      <c r="Y78">
        <v>0.39999999999999991</v>
      </c>
    </row>
    <row r="79" spans="1:25" x14ac:dyDescent="0.2">
      <c r="A79" t="s">
        <v>127</v>
      </c>
      <c r="B79">
        <v>7</v>
      </c>
      <c r="C79" s="1">
        <v>44073</v>
      </c>
      <c r="D79" t="s">
        <v>16</v>
      </c>
      <c r="E79">
        <v>2020</v>
      </c>
      <c r="F79" t="s">
        <v>17</v>
      </c>
      <c r="G79" t="s">
        <v>18</v>
      </c>
      <c r="H79" t="s">
        <v>19</v>
      </c>
      <c r="I79" t="s">
        <v>25</v>
      </c>
      <c r="J79">
        <v>1</v>
      </c>
      <c r="K79">
        <v>3</v>
      </c>
      <c r="L79">
        <v>-2</v>
      </c>
      <c r="M79">
        <v>1</v>
      </c>
      <c r="N79">
        <v>1.1000000000000001</v>
      </c>
      <c r="O79">
        <v>-0.10000000000000009</v>
      </c>
      <c r="P79">
        <v>1.9</v>
      </c>
      <c r="Q79">
        <v>0</v>
      </c>
      <c r="R79">
        <v>0</v>
      </c>
      <c r="S79" t="s">
        <v>276</v>
      </c>
      <c r="T79">
        <v>0</v>
      </c>
      <c r="U79" t="s">
        <v>294</v>
      </c>
      <c r="V79">
        <v>0</v>
      </c>
      <c r="W79">
        <v>2070</v>
      </c>
      <c r="X79">
        <v>0</v>
      </c>
      <c r="Y79">
        <v>1.9</v>
      </c>
    </row>
    <row r="80" spans="1:25" x14ac:dyDescent="0.2">
      <c r="A80" t="s">
        <v>128</v>
      </c>
      <c r="B80">
        <v>8</v>
      </c>
      <c r="C80" s="1">
        <v>44076</v>
      </c>
      <c r="D80" t="s">
        <v>16</v>
      </c>
      <c r="E80">
        <v>2020</v>
      </c>
      <c r="F80" t="s">
        <v>17</v>
      </c>
      <c r="G80" t="s">
        <v>47</v>
      </c>
      <c r="H80" t="s">
        <v>33</v>
      </c>
      <c r="I80" t="s">
        <v>20</v>
      </c>
      <c r="J80">
        <v>5</v>
      </c>
      <c r="K80">
        <v>1</v>
      </c>
      <c r="L80">
        <v>4</v>
      </c>
      <c r="M80">
        <v>2.9</v>
      </c>
      <c r="N80">
        <v>0.5</v>
      </c>
      <c r="O80">
        <v>2.4</v>
      </c>
      <c r="P80">
        <v>-1.6</v>
      </c>
      <c r="Q80">
        <v>0</v>
      </c>
      <c r="R80">
        <v>0</v>
      </c>
      <c r="S80" t="s">
        <v>276</v>
      </c>
      <c r="T80">
        <v>1</v>
      </c>
      <c r="U80" t="s">
        <v>294</v>
      </c>
      <c r="V80">
        <v>0</v>
      </c>
      <c r="W80">
        <v>2070</v>
      </c>
      <c r="X80">
        <v>2.1</v>
      </c>
      <c r="Y80">
        <v>0.5</v>
      </c>
    </row>
    <row r="81" spans="1:25" x14ac:dyDescent="0.2">
      <c r="A81" t="s">
        <v>129</v>
      </c>
      <c r="B81">
        <v>9</v>
      </c>
      <c r="C81" s="1">
        <v>44080</v>
      </c>
      <c r="D81" t="s">
        <v>16</v>
      </c>
      <c r="E81">
        <v>2020</v>
      </c>
      <c r="F81" t="s">
        <v>17</v>
      </c>
      <c r="G81" t="s">
        <v>24</v>
      </c>
      <c r="H81" t="s">
        <v>19</v>
      </c>
      <c r="I81" t="s">
        <v>25</v>
      </c>
      <c r="J81">
        <v>0</v>
      </c>
      <c r="K81">
        <v>3</v>
      </c>
      <c r="L81">
        <v>-3</v>
      </c>
      <c r="M81">
        <v>1.8</v>
      </c>
      <c r="N81">
        <v>1.5</v>
      </c>
      <c r="O81">
        <v>0.30000000000000004</v>
      </c>
      <c r="P81">
        <v>3.3</v>
      </c>
      <c r="Q81">
        <v>0</v>
      </c>
      <c r="R81">
        <v>0</v>
      </c>
      <c r="S81" t="s">
        <v>276</v>
      </c>
      <c r="T81">
        <v>0</v>
      </c>
      <c r="U81" t="s">
        <v>294</v>
      </c>
      <c r="V81">
        <v>0</v>
      </c>
      <c r="W81">
        <v>2070</v>
      </c>
      <c r="X81">
        <v>-1.8</v>
      </c>
      <c r="Y81">
        <v>1.5</v>
      </c>
    </row>
    <row r="82" spans="1:25" x14ac:dyDescent="0.2">
      <c r="A82" t="s">
        <v>130</v>
      </c>
      <c r="B82">
        <v>10</v>
      </c>
      <c r="C82" s="1">
        <v>44083</v>
      </c>
      <c r="D82" t="s">
        <v>16</v>
      </c>
      <c r="E82">
        <v>2020</v>
      </c>
      <c r="F82" t="s">
        <v>17</v>
      </c>
      <c r="G82" t="s">
        <v>22</v>
      </c>
      <c r="H82" t="s">
        <v>19</v>
      </c>
      <c r="I82" t="s">
        <v>25</v>
      </c>
      <c r="J82">
        <v>0</v>
      </c>
      <c r="K82">
        <v>3</v>
      </c>
      <c r="L82">
        <v>-3</v>
      </c>
      <c r="M82">
        <v>1.5</v>
      </c>
      <c r="N82">
        <v>2.2000000000000002</v>
      </c>
      <c r="O82">
        <v>-0.70000000000000018</v>
      </c>
      <c r="P82">
        <v>2.2999999999999998</v>
      </c>
      <c r="Q82">
        <v>0</v>
      </c>
      <c r="R82">
        <v>0</v>
      </c>
      <c r="S82" t="s">
        <v>276</v>
      </c>
      <c r="T82">
        <v>0</v>
      </c>
      <c r="U82" t="s">
        <v>294</v>
      </c>
      <c r="V82">
        <v>0</v>
      </c>
      <c r="W82">
        <v>2070</v>
      </c>
      <c r="X82">
        <v>-1.5</v>
      </c>
      <c r="Y82">
        <v>0.79999999999999982</v>
      </c>
    </row>
    <row r="83" spans="1:25" x14ac:dyDescent="0.2">
      <c r="A83" t="s">
        <v>131</v>
      </c>
      <c r="B83">
        <v>11</v>
      </c>
      <c r="C83" s="1">
        <v>44087</v>
      </c>
      <c r="D83" t="s">
        <v>16</v>
      </c>
      <c r="E83">
        <v>2020</v>
      </c>
      <c r="F83" t="s">
        <v>17</v>
      </c>
      <c r="G83" t="s">
        <v>42</v>
      </c>
      <c r="H83" t="s">
        <v>33</v>
      </c>
      <c r="I83" t="s">
        <v>20</v>
      </c>
      <c r="J83">
        <v>4</v>
      </c>
      <c r="K83">
        <v>2</v>
      </c>
      <c r="L83">
        <v>2</v>
      </c>
      <c r="M83">
        <v>2.8</v>
      </c>
      <c r="N83">
        <v>1.2</v>
      </c>
      <c r="O83">
        <v>1.5999999999999999</v>
      </c>
      <c r="P83">
        <v>-0.40000000000000013</v>
      </c>
      <c r="Q83">
        <v>0</v>
      </c>
      <c r="R83">
        <v>0</v>
      </c>
      <c r="S83" t="s">
        <v>276</v>
      </c>
      <c r="T83">
        <v>1</v>
      </c>
      <c r="U83" t="s">
        <v>294</v>
      </c>
      <c r="V83">
        <v>0</v>
      </c>
      <c r="W83">
        <v>2070</v>
      </c>
      <c r="X83">
        <v>1.2000000000000002</v>
      </c>
      <c r="Y83">
        <v>0.8</v>
      </c>
    </row>
    <row r="84" spans="1:25" x14ac:dyDescent="0.2">
      <c r="A84" t="s">
        <v>132</v>
      </c>
      <c r="B84">
        <v>12</v>
      </c>
      <c r="C84" s="1">
        <v>44092</v>
      </c>
      <c r="D84" t="s">
        <v>16</v>
      </c>
      <c r="E84">
        <v>2020</v>
      </c>
      <c r="F84" t="s">
        <v>17</v>
      </c>
      <c r="G84" t="s">
        <v>18</v>
      </c>
      <c r="H84" t="s">
        <v>19</v>
      </c>
      <c r="I84" t="s">
        <v>25</v>
      </c>
      <c r="J84">
        <v>0</v>
      </c>
      <c r="K84">
        <v>3</v>
      </c>
      <c r="L84">
        <v>-3</v>
      </c>
      <c r="M84">
        <v>0.6</v>
      </c>
      <c r="N84">
        <v>2.5</v>
      </c>
      <c r="O84">
        <v>-1.9</v>
      </c>
      <c r="P84">
        <v>1.1000000000000001</v>
      </c>
      <c r="Q84">
        <v>0</v>
      </c>
      <c r="R84">
        <v>0</v>
      </c>
      <c r="S84" t="s">
        <v>276</v>
      </c>
      <c r="T84">
        <v>0</v>
      </c>
      <c r="U84" t="s">
        <v>294</v>
      </c>
      <c r="V84">
        <v>0</v>
      </c>
      <c r="W84">
        <v>2070</v>
      </c>
      <c r="X84">
        <v>-0.6</v>
      </c>
      <c r="Y84">
        <v>0.5</v>
      </c>
    </row>
    <row r="85" spans="1:25" x14ac:dyDescent="0.2">
      <c r="A85" t="s">
        <v>133</v>
      </c>
      <c r="B85">
        <v>13</v>
      </c>
      <c r="C85" s="1">
        <v>44097</v>
      </c>
      <c r="D85" t="s">
        <v>16</v>
      </c>
      <c r="E85">
        <v>2020</v>
      </c>
      <c r="F85" t="s">
        <v>17</v>
      </c>
      <c r="G85" t="s">
        <v>29</v>
      </c>
      <c r="H85" t="s">
        <v>33</v>
      </c>
      <c r="I85" t="s">
        <v>20</v>
      </c>
      <c r="J85">
        <v>6</v>
      </c>
      <c r="K85">
        <v>0</v>
      </c>
      <c r="L85">
        <v>6</v>
      </c>
      <c r="M85">
        <v>2.5</v>
      </c>
      <c r="N85">
        <v>0.4</v>
      </c>
      <c r="O85">
        <v>2.1</v>
      </c>
      <c r="P85">
        <v>-3.9</v>
      </c>
      <c r="Q85">
        <v>0</v>
      </c>
      <c r="R85">
        <v>0</v>
      </c>
      <c r="S85" t="s">
        <v>276</v>
      </c>
      <c r="T85">
        <v>1</v>
      </c>
      <c r="U85" t="s">
        <v>294</v>
      </c>
      <c r="V85">
        <v>0</v>
      </c>
      <c r="W85">
        <v>2070</v>
      </c>
      <c r="X85">
        <v>3.5</v>
      </c>
      <c r="Y85">
        <v>-0.4</v>
      </c>
    </row>
    <row r="86" spans="1:25" x14ac:dyDescent="0.2">
      <c r="A86" t="s">
        <v>134</v>
      </c>
      <c r="B86">
        <v>14</v>
      </c>
      <c r="C86" s="1">
        <v>44101</v>
      </c>
      <c r="D86" t="s">
        <v>16</v>
      </c>
      <c r="E86">
        <v>2020</v>
      </c>
      <c r="F86" t="s">
        <v>17</v>
      </c>
      <c r="G86" t="s">
        <v>47</v>
      </c>
      <c r="H86" t="s">
        <v>33</v>
      </c>
      <c r="I86" t="s">
        <v>25</v>
      </c>
      <c r="J86">
        <v>1</v>
      </c>
      <c r="K86">
        <v>2</v>
      </c>
      <c r="L86">
        <v>-1</v>
      </c>
      <c r="M86">
        <v>1.2</v>
      </c>
      <c r="N86">
        <v>1.9</v>
      </c>
      <c r="O86">
        <v>-0.7</v>
      </c>
      <c r="P86">
        <v>0.30000000000000004</v>
      </c>
      <c r="Q86">
        <v>0</v>
      </c>
      <c r="R86">
        <v>0</v>
      </c>
      <c r="S86" t="s">
        <v>276</v>
      </c>
      <c r="T86">
        <v>0</v>
      </c>
      <c r="U86" t="s">
        <v>294</v>
      </c>
      <c r="V86">
        <v>0</v>
      </c>
      <c r="W86">
        <v>2070</v>
      </c>
      <c r="X86">
        <v>-0.19999999999999996</v>
      </c>
      <c r="Y86">
        <v>0.10000000000000009</v>
      </c>
    </row>
    <row r="87" spans="1:25" x14ac:dyDescent="0.2">
      <c r="A87" t="s">
        <v>135</v>
      </c>
      <c r="B87">
        <v>15</v>
      </c>
      <c r="C87" s="1">
        <v>44108</v>
      </c>
      <c r="D87" t="s">
        <v>16</v>
      </c>
      <c r="E87">
        <v>2020</v>
      </c>
      <c r="F87" t="s">
        <v>17</v>
      </c>
      <c r="G87" t="s">
        <v>22</v>
      </c>
      <c r="H87" t="s">
        <v>19</v>
      </c>
      <c r="I87" t="s">
        <v>20</v>
      </c>
      <c r="J87">
        <v>3</v>
      </c>
      <c r="K87">
        <v>1</v>
      </c>
      <c r="L87">
        <v>2</v>
      </c>
      <c r="M87">
        <v>2.4</v>
      </c>
      <c r="N87">
        <v>1.5</v>
      </c>
      <c r="O87">
        <v>0.89999999999999991</v>
      </c>
      <c r="P87">
        <v>-1.1000000000000001</v>
      </c>
      <c r="Q87">
        <v>0</v>
      </c>
      <c r="R87">
        <v>0</v>
      </c>
      <c r="S87" t="s">
        <v>276</v>
      </c>
      <c r="T87">
        <v>1</v>
      </c>
      <c r="U87" t="s">
        <v>294</v>
      </c>
      <c r="V87">
        <v>0</v>
      </c>
      <c r="W87">
        <v>2070</v>
      </c>
      <c r="X87">
        <v>0.60000000000000009</v>
      </c>
      <c r="Y87">
        <v>-0.5</v>
      </c>
    </row>
    <row r="88" spans="1:25" x14ac:dyDescent="0.2">
      <c r="A88" t="s">
        <v>136</v>
      </c>
      <c r="B88">
        <v>16</v>
      </c>
      <c r="C88" s="1">
        <v>44115</v>
      </c>
      <c r="D88" t="s">
        <v>16</v>
      </c>
      <c r="E88">
        <v>2020</v>
      </c>
      <c r="F88" t="s">
        <v>17</v>
      </c>
      <c r="G88" t="s">
        <v>18</v>
      </c>
      <c r="H88" t="s">
        <v>33</v>
      </c>
      <c r="I88" t="s">
        <v>20</v>
      </c>
      <c r="J88">
        <v>3</v>
      </c>
      <c r="K88">
        <v>1</v>
      </c>
      <c r="L88">
        <v>2</v>
      </c>
      <c r="M88">
        <v>0.9</v>
      </c>
      <c r="N88">
        <v>2.1</v>
      </c>
      <c r="O88">
        <v>-1.2000000000000002</v>
      </c>
      <c r="P88">
        <v>-3.2</v>
      </c>
      <c r="Q88">
        <v>0</v>
      </c>
      <c r="R88">
        <v>0</v>
      </c>
      <c r="S88" t="s">
        <v>276</v>
      </c>
      <c r="T88">
        <v>1</v>
      </c>
      <c r="U88" t="s">
        <v>294</v>
      </c>
      <c r="V88">
        <v>0</v>
      </c>
      <c r="W88">
        <v>2070</v>
      </c>
      <c r="X88">
        <v>2.1</v>
      </c>
      <c r="Y88">
        <v>-1.1000000000000001</v>
      </c>
    </row>
    <row r="89" spans="1:25" x14ac:dyDescent="0.2">
      <c r="A89" t="s">
        <v>137</v>
      </c>
      <c r="B89">
        <v>17</v>
      </c>
      <c r="C89" s="1">
        <v>44118</v>
      </c>
      <c r="D89" t="s">
        <v>16</v>
      </c>
      <c r="E89">
        <v>2020</v>
      </c>
      <c r="F89" t="s">
        <v>17</v>
      </c>
      <c r="G89" t="s">
        <v>29</v>
      </c>
      <c r="H89" t="s">
        <v>19</v>
      </c>
      <c r="I89" t="s">
        <v>25</v>
      </c>
      <c r="J89">
        <v>1</v>
      </c>
      <c r="K89">
        <v>2</v>
      </c>
      <c r="L89">
        <v>-1</v>
      </c>
      <c r="M89">
        <v>1.4</v>
      </c>
      <c r="N89">
        <v>1.8</v>
      </c>
      <c r="O89">
        <v>-0.40000000000000013</v>
      </c>
      <c r="P89">
        <v>0.59999999999999987</v>
      </c>
      <c r="Q89">
        <v>0</v>
      </c>
      <c r="R89">
        <v>0</v>
      </c>
      <c r="S89" t="s">
        <v>276</v>
      </c>
      <c r="T89">
        <v>0</v>
      </c>
      <c r="U89" t="s">
        <v>294</v>
      </c>
      <c r="V89">
        <v>0</v>
      </c>
      <c r="W89">
        <v>2070</v>
      </c>
      <c r="X89">
        <v>-0.39999999999999991</v>
      </c>
      <c r="Y89">
        <v>0.19999999999999996</v>
      </c>
    </row>
    <row r="90" spans="1:25" x14ac:dyDescent="0.2">
      <c r="A90" t="s">
        <v>138</v>
      </c>
      <c r="B90">
        <v>18</v>
      </c>
      <c r="C90" s="1">
        <v>44122</v>
      </c>
      <c r="D90" t="s">
        <v>16</v>
      </c>
      <c r="E90">
        <v>2020</v>
      </c>
      <c r="F90" t="s">
        <v>17</v>
      </c>
      <c r="G90" t="s">
        <v>42</v>
      </c>
      <c r="H90" t="s">
        <v>19</v>
      </c>
      <c r="I90" t="s">
        <v>36</v>
      </c>
      <c r="J90">
        <v>1</v>
      </c>
      <c r="K90">
        <v>1</v>
      </c>
      <c r="L90">
        <v>0</v>
      </c>
      <c r="M90">
        <v>1.6</v>
      </c>
      <c r="N90">
        <v>1.5</v>
      </c>
      <c r="O90">
        <v>0.10000000000000009</v>
      </c>
      <c r="P90">
        <v>0.10000000000000009</v>
      </c>
      <c r="Q90">
        <v>0</v>
      </c>
      <c r="R90">
        <v>0</v>
      </c>
      <c r="S90" t="s">
        <v>276</v>
      </c>
      <c r="T90">
        <v>0</v>
      </c>
      <c r="U90" t="s">
        <v>294</v>
      </c>
      <c r="V90">
        <v>0</v>
      </c>
      <c r="W90">
        <v>2070</v>
      </c>
      <c r="X90">
        <v>-0.60000000000000009</v>
      </c>
      <c r="Y90">
        <v>-0.5</v>
      </c>
    </row>
    <row r="91" spans="1:25" x14ac:dyDescent="0.2">
      <c r="A91" t="s">
        <v>139</v>
      </c>
      <c r="B91">
        <v>19</v>
      </c>
      <c r="C91" s="1">
        <v>44129</v>
      </c>
      <c r="D91" t="s">
        <v>16</v>
      </c>
      <c r="E91">
        <v>2020</v>
      </c>
      <c r="F91" t="s">
        <v>17</v>
      </c>
      <c r="G91" t="s">
        <v>24</v>
      </c>
      <c r="H91" t="s">
        <v>33</v>
      </c>
      <c r="I91" t="s">
        <v>20</v>
      </c>
      <c r="J91">
        <v>2</v>
      </c>
      <c r="K91">
        <v>0</v>
      </c>
      <c r="L91">
        <v>2</v>
      </c>
      <c r="M91">
        <v>3.1</v>
      </c>
      <c r="N91">
        <v>0.2</v>
      </c>
      <c r="O91">
        <v>2.9</v>
      </c>
      <c r="P91">
        <v>0.89999999999999991</v>
      </c>
      <c r="Q91">
        <v>20</v>
      </c>
      <c r="R91">
        <v>1</v>
      </c>
      <c r="S91" t="s">
        <v>276</v>
      </c>
      <c r="T91">
        <v>1</v>
      </c>
      <c r="U91" t="s">
        <v>294</v>
      </c>
      <c r="V91">
        <v>0</v>
      </c>
      <c r="W91">
        <v>2070</v>
      </c>
      <c r="X91">
        <v>-1.1000000000000001</v>
      </c>
      <c r="Y91">
        <v>-0.2</v>
      </c>
    </row>
    <row r="92" spans="1:25" x14ac:dyDescent="0.2">
      <c r="A92" t="s">
        <v>140</v>
      </c>
      <c r="B92">
        <v>20</v>
      </c>
      <c r="C92" s="1">
        <v>44132</v>
      </c>
      <c r="D92" t="s">
        <v>16</v>
      </c>
      <c r="E92">
        <v>2020</v>
      </c>
      <c r="F92" t="s">
        <v>17</v>
      </c>
      <c r="G92" t="s">
        <v>53</v>
      </c>
      <c r="H92" t="s">
        <v>33</v>
      </c>
      <c r="I92" t="s">
        <v>20</v>
      </c>
      <c r="J92">
        <v>2</v>
      </c>
      <c r="K92">
        <v>1</v>
      </c>
      <c r="L92">
        <v>1</v>
      </c>
      <c r="M92">
        <v>3.1</v>
      </c>
      <c r="N92">
        <v>2</v>
      </c>
      <c r="O92">
        <v>1.1000000000000001</v>
      </c>
      <c r="P92">
        <v>0.10000000000000009</v>
      </c>
      <c r="Q92">
        <v>30</v>
      </c>
      <c r="R92">
        <v>1</v>
      </c>
      <c r="S92" t="s">
        <v>276</v>
      </c>
      <c r="T92">
        <v>1</v>
      </c>
      <c r="U92" t="s">
        <v>294</v>
      </c>
      <c r="V92">
        <v>0</v>
      </c>
      <c r="W92">
        <v>2070</v>
      </c>
      <c r="X92">
        <v>-1.1000000000000001</v>
      </c>
      <c r="Y92">
        <v>-1</v>
      </c>
    </row>
    <row r="93" spans="1:25" x14ac:dyDescent="0.2">
      <c r="A93" t="s">
        <v>141</v>
      </c>
      <c r="B93">
        <v>21</v>
      </c>
      <c r="C93" s="1">
        <v>44139</v>
      </c>
      <c r="D93" t="s">
        <v>16</v>
      </c>
      <c r="E93">
        <v>2020</v>
      </c>
      <c r="F93" t="s">
        <v>17</v>
      </c>
      <c r="G93" t="s">
        <v>47</v>
      </c>
      <c r="H93" t="s">
        <v>19</v>
      </c>
      <c r="I93" t="s">
        <v>25</v>
      </c>
      <c r="J93">
        <v>2</v>
      </c>
      <c r="K93">
        <v>3</v>
      </c>
      <c r="L93">
        <v>-1</v>
      </c>
      <c r="M93">
        <v>2.4</v>
      </c>
      <c r="N93">
        <v>1.1000000000000001</v>
      </c>
      <c r="O93">
        <v>1.2999999999999998</v>
      </c>
      <c r="P93">
        <v>2.2999999999999998</v>
      </c>
      <c r="Q93">
        <v>45</v>
      </c>
      <c r="R93">
        <v>1</v>
      </c>
      <c r="S93" t="s">
        <v>277</v>
      </c>
      <c r="T93">
        <v>0</v>
      </c>
      <c r="U93" t="s">
        <v>294</v>
      </c>
      <c r="V93">
        <v>0</v>
      </c>
      <c r="W93">
        <v>2070</v>
      </c>
      <c r="X93">
        <v>-0.39999999999999991</v>
      </c>
      <c r="Y93">
        <v>1.9</v>
      </c>
    </row>
    <row r="94" spans="1:25" x14ac:dyDescent="0.2">
      <c r="A94" t="s">
        <v>142</v>
      </c>
      <c r="B94">
        <v>22</v>
      </c>
      <c r="C94" s="1">
        <v>44143</v>
      </c>
      <c r="D94" t="s">
        <v>16</v>
      </c>
      <c r="E94">
        <v>2020</v>
      </c>
      <c r="F94" t="s">
        <v>17</v>
      </c>
      <c r="G94" t="s">
        <v>42</v>
      </c>
      <c r="H94" t="s">
        <v>33</v>
      </c>
      <c r="I94" t="s">
        <v>36</v>
      </c>
      <c r="J94">
        <v>1</v>
      </c>
      <c r="K94">
        <v>1</v>
      </c>
      <c r="L94">
        <v>0</v>
      </c>
      <c r="M94">
        <v>1.4</v>
      </c>
      <c r="N94">
        <v>1.4</v>
      </c>
      <c r="O94">
        <v>0</v>
      </c>
      <c r="P94">
        <v>0</v>
      </c>
      <c r="Q94">
        <v>90</v>
      </c>
      <c r="R94">
        <v>1</v>
      </c>
      <c r="S94" t="s">
        <v>275</v>
      </c>
      <c r="T94">
        <v>0</v>
      </c>
      <c r="U94" t="s">
        <v>294</v>
      </c>
      <c r="V94">
        <v>0</v>
      </c>
      <c r="W94">
        <v>2070</v>
      </c>
      <c r="X94">
        <v>-0.39999999999999991</v>
      </c>
      <c r="Y94">
        <v>-0.39999999999999991</v>
      </c>
    </row>
    <row r="95" spans="1:25" x14ac:dyDescent="0.2">
      <c r="A95" t="s">
        <v>143</v>
      </c>
      <c r="B95">
        <v>23</v>
      </c>
      <c r="C95" s="1">
        <v>44159</v>
      </c>
      <c r="D95" t="s">
        <v>16</v>
      </c>
      <c r="E95">
        <v>2020</v>
      </c>
      <c r="F95" t="s">
        <v>144</v>
      </c>
      <c r="G95" t="s">
        <v>18</v>
      </c>
      <c r="H95" t="s">
        <v>19</v>
      </c>
      <c r="I95" t="s">
        <v>25</v>
      </c>
      <c r="J95">
        <v>1</v>
      </c>
      <c r="K95">
        <v>3</v>
      </c>
      <c r="L95">
        <v>-2</v>
      </c>
      <c r="M95">
        <v>2.5</v>
      </c>
      <c r="N95">
        <v>2</v>
      </c>
      <c r="O95">
        <v>0.5</v>
      </c>
      <c r="P95">
        <v>2.5</v>
      </c>
      <c r="Q95">
        <v>90</v>
      </c>
      <c r="R95">
        <v>1</v>
      </c>
      <c r="S95" t="s">
        <v>275</v>
      </c>
      <c r="T95">
        <v>0</v>
      </c>
      <c r="U95" t="s">
        <v>294</v>
      </c>
      <c r="V95">
        <v>0</v>
      </c>
      <c r="W95">
        <v>2070</v>
      </c>
      <c r="X95">
        <v>-1.5</v>
      </c>
      <c r="Y95">
        <v>1</v>
      </c>
    </row>
    <row r="96" spans="1:25" x14ac:dyDescent="0.2">
      <c r="A96" t="s">
        <v>145</v>
      </c>
      <c r="B96">
        <v>1</v>
      </c>
      <c r="C96" s="1">
        <v>44303</v>
      </c>
      <c r="D96" t="s">
        <v>16</v>
      </c>
      <c r="E96">
        <v>2021</v>
      </c>
      <c r="F96" t="s">
        <v>17</v>
      </c>
      <c r="G96" t="s">
        <v>146</v>
      </c>
      <c r="H96" t="s">
        <v>33</v>
      </c>
      <c r="I96" t="s">
        <v>20</v>
      </c>
      <c r="J96">
        <v>2</v>
      </c>
      <c r="K96">
        <v>0</v>
      </c>
      <c r="L96">
        <v>2</v>
      </c>
      <c r="M96">
        <v>3.2</v>
      </c>
      <c r="N96">
        <v>0.8</v>
      </c>
      <c r="O96">
        <v>2.4000000000000004</v>
      </c>
      <c r="P96">
        <v>0.40000000000000036</v>
      </c>
      <c r="Q96">
        <v>22</v>
      </c>
      <c r="R96">
        <v>1</v>
      </c>
      <c r="S96" t="s">
        <v>276</v>
      </c>
      <c r="T96">
        <v>1</v>
      </c>
      <c r="U96" t="s">
        <v>295</v>
      </c>
      <c r="V96">
        <v>0</v>
      </c>
      <c r="W96">
        <v>3060</v>
      </c>
      <c r="X96">
        <v>-1.2000000000000002</v>
      </c>
      <c r="Y96">
        <v>-0.8</v>
      </c>
    </row>
    <row r="97" spans="1:25" x14ac:dyDescent="0.2">
      <c r="A97" t="s">
        <v>147</v>
      </c>
      <c r="B97">
        <v>2</v>
      </c>
      <c r="C97" s="1">
        <v>44310</v>
      </c>
      <c r="D97" t="s">
        <v>16</v>
      </c>
      <c r="E97">
        <v>2021</v>
      </c>
      <c r="F97" t="s">
        <v>17</v>
      </c>
      <c r="G97" t="s">
        <v>18</v>
      </c>
      <c r="H97" t="s">
        <v>33</v>
      </c>
      <c r="I97" t="s">
        <v>36</v>
      </c>
      <c r="J97">
        <v>1</v>
      </c>
      <c r="K97">
        <v>1</v>
      </c>
      <c r="L97">
        <v>0</v>
      </c>
      <c r="M97">
        <v>0.6</v>
      </c>
      <c r="N97">
        <v>0.8</v>
      </c>
      <c r="O97">
        <v>-0.20000000000000007</v>
      </c>
      <c r="P97">
        <v>-0.20000000000000007</v>
      </c>
      <c r="Q97">
        <v>0</v>
      </c>
      <c r="R97">
        <v>0</v>
      </c>
      <c r="S97" t="s">
        <v>276</v>
      </c>
      <c r="T97">
        <v>0</v>
      </c>
      <c r="U97" t="s">
        <v>295</v>
      </c>
      <c r="V97">
        <v>0</v>
      </c>
      <c r="W97">
        <v>3060</v>
      </c>
      <c r="X97">
        <v>0.4</v>
      </c>
      <c r="Y97">
        <v>0.19999999999999996</v>
      </c>
    </row>
    <row r="98" spans="1:25" x14ac:dyDescent="0.2">
      <c r="A98" t="s">
        <v>148</v>
      </c>
      <c r="B98">
        <v>3</v>
      </c>
      <c r="C98" s="1">
        <v>44317</v>
      </c>
      <c r="D98" t="s">
        <v>16</v>
      </c>
      <c r="E98">
        <v>2021</v>
      </c>
      <c r="F98" t="s">
        <v>17</v>
      </c>
      <c r="G98" t="s">
        <v>53</v>
      </c>
      <c r="H98" t="s">
        <v>19</v>
      </c>
      <c r="I98" t="s">
        <v>36</v>
      </c>
      <c r="J98">
        <v>1</v>
      </c>
      <c r="K98">
        <v>1</v>
      </c>
      <c r="L98">
        <v>0</v>
      </c>
      <c r="M98">
        <v>1.3</v>
      </c>
      <c r="N98">
        <v>1.4</v>
      </c>
      <c r="O98">
        <v>-9.9999999999999867E-2</v>
      </c>
      <c r="P98">
        <v>-9.9999999999999867E-2</v>
      </c>
      <c r="Q98">
        <v>0</v>
      </c>
      <c r="R98">
        <v>0</v>
      </c>
      <c r="S98" t="s">
        <v>276</v>
      </c>
      <c r="T98">
        <v>0</v>
      </c>
      <c r="U98" t="s">
        <v>295</v>
      </c>
      <c r="V98">
        <v>0</v>
      </c>
      <c r="W98">
        <v>3060</v>
      </c>
      <c r="X98">
        <v>-0.30000000000000004</v>
      </c>
      <c r="Y98">
        <v>-0.39999999999999991</v>
      </c>
    </row>
    <row r="99" spans="1:25" x14ac:dyDescent="0.2">
      <c r="A99" t="s">
        <v>149</v>
      </c>
      <c r="B99">
        <v>4</v>
      </c>
      <c r="C99" s="1">
        <v>44324</v>
      </c>
      <c r="D99" t="s">
        <v>16</v>
      </c>
      <c r="E99">
        <v>2021</v>
      </c>
      <c r="F99" t="s">
        <v>17</v>
      </c>
      <c r="G99" t="s">
        <v>24</v>
      </c>
      <c r="H99" t="s">
        <v>19</v>
      </c>
      <c r="I99" t="s">
        <v>25</v>
      </c>
      <c r="J99">
        <v>1</v>
      </c>
      <c r="K99">
        <v>2</v>
      </c>
      <c r="L99">
        <v>-1</v>
      </c>
      <c r="M99">
        <v>1.2</v>
      </c>
      <c r="N99">
        <v>1</v>
      </c>
      <c r="O99">
        <v>0.19999999999999996</v>
      </c>
      <c r="P99">
        <v>1.2</v>
      </c>
      <c r="Q99">
        <v>0</v>
      </c>
      <c r="R99">
        <v>0</v>
      </c>
      <c r="S99" t="s">
        <v>276</v>
      </c>
      <c r="T99">
        <v>0</v>
      </c>
      <c r="U99" t="s">
        <v>295</v>
      </c>
      <c r="V99">
        <v>0</v>
      </c>
      <c r="W99">
        <v>3060</v>
      </c>
      <c r="X99">
        <v>-0.19999999999999996</v>
      </c>
      <c r="Y99">
        <v>1</v>
      </c>
    </row>
    <row r="100" spans="1:25" x14ac:dyDescent="0.2">
      <c r="A100" t="s">
        <v>150</v>
      </c>
      <c r="B100">
        <v>5</v>
      </c>
      <c r="C100" s="1">
        <v>44332</v>
      </c>
      <c r="D100" t="s">
        <v>16</v>
      </c>
      <c r="E100">
        <v>2021</v>
      </c>
      <c r="F100" t="s">
        <v>17</v>
      </c>
      <c r="G100" t="s">
        <v>18</v>
      </c>
      <c r="H100" t="s">
        <v>19</v>
      </c>
      <c r="I100" t="s">
        <v>25</v>
      </c>
      <c r="J100">
        <v>0</v>
      </c>
      <c r="K100">
        <v>2</v>
      </c>
      <c r="L100">
        <v>-2</v>
      </c>
      <c r="M100">
        <v>0.6</v>
      </c>
      <c r="N100">
        <v>1.3</v>
      </c>
      <c r="O100">
        <v>-0.70000000000000007</v>
      </c>
      <c r="P100">
        <v>1.2999999999999998</v>
      </c>
      <c r="Q100">
        <v>20</v>
      </c>
      <c r="R100">
        <v>1</v>
      </c>
      <c r="S100" t="s">
        <v>276</v>
      </c>
      <c r="T100">
        <v>0</v>
      </c>
      <c r="U100" t="s">
        <v>295</v>
      </c>
      <c r="V100">
        <v>0</v>
      </c>
      <c r="W100">
        <v>3060</v>
      </c>
      <c r="X100">
        <v>-0.6</v>
      </c>
      <c r="Y100">
        <v>0.7</v>
      </c>
    </row>
    <row r="101" spans="1:25" x14ac:dyDescent="0.2">
      <c r="A101" t="s">
        <v>151</v>
      </c>
      <c r="B101">
        <v>6</v>
      </c>
      <c r="C101" s="1">
        <v>44338</v>
      </c>
      <c r="D101" t="s">
        <v>16</v>
      </c>
      <c r="E101">
        <v>2021</v>
      </c>
      <c r="F101" t="s">
        <v>17</v>
      </c>
      <c r="G101" t="s">
        <v>65</v>
      </c>
      <c r="H101" t="s">
        <v>33</v>
      </c>
      <c r="I101" t="s">
        <v>20</v>
      </c>
      <c r="J101">
        <v>2</v>
      </c>
      <c r="K101">
        <v>1</v>
      </c>
      <c r="L101">
        <v>1</v>
      </c>
      <c r="M101">
        <v>1.5</v>
      </c>
      <c r="N101">
        <v>1.1000000000000001</v>
      </c>
      <c r="O101">
        <v>0.39999999999999991</v>
      </c>
      <c r="P101">
        <v>-0.60000000000000009</v>
      </c>
      <c r="Q101">
        <v>59</v>
      </c>
      <c r="R101">
        <v>1</v>
      </c>
      <c r="S101" t="s">
        <v>277</v>
      </c>
      <c r="T101">
        <v>1</v>
      </c>
      <c r="U101" t="s">
        <v>295</v>
      </c>
      <c r="V101">
        <v>0</v>
      </c>
      <c r="W101">
        <v>3060</v>
      </c>
      <c r="X101">
        <v>0.5</v>
      </c>
      <c r="Y101">
        <v>-0.10000000000000009</v>
      </c>
    </row>
    <row r="102" spans="1:25" x14ac:dyDescent="0.2">
      <c r="A102" t="s">
        <v>152</v>
      </c>
      <c r="B102">
        <v>7</v>
      </c>
      <c r="C102" s="1">
        <v>44345</v>
      </c>
      <c r="D102" t="s">
        <v>16</v>
      </c>
      <c r="E102">
        <v>2021</v>
      </c>
      <c r="F102" t="s">
        <v>17</v>
      </c>
      <c r="G102" t="s">
        <v>40</v>
      </c>
      <c r="H102" t="s">
        <v>33</v>
      </c>
      <c r="I102" t="s">
        <v>25</v>
      </c>
      <c r="J102">
        <v>1</v>
      </c>
      <c r="K102">
        <v>2</v>
      </c>
      <c r="L102">
        <v>-1</v>
      </c>
      <c r="M102">
        <v>2.2999999999999998</v>
      </c>
      <c r="N102">
        <v>1</v>
      </c>
      <c r="O102">
        <v>1.2999999999999998</v>
      </c>
      <c r="P102">
        <v>2.2999999999999998</v>
      </c>
      <c r="Q102">
        <v>90</v>
      </c>
      <c r="R102">
        <v>1</v>
      </c>
      <c r="S102" t="s">
        <v>275</v>
      </c>
      <c r="T102">
        <v>0</v>
      </c>
      <c r="U102" t="s">
        <v>295</v>
      </c>
      <c r="V102">
        <v>0</v>
      </c>
      <c r="W102">
        <v>3060</v>
      </c>
      <c r="X102">
        <v>-1.2999999999999998</v>
      </c>
      <c r="Y102">
        <v>1</v>
      </c>
    </row>
    <row r="103" spans="1:25" x14ac:dyDescent="0.2">
      <c r="A103" t="s">
        <v>153</v>
      </c>
      <c r="B103">
        <v>8</v>
      </c>
      <c r="C103" s="1">
        <v>44366</v>
      </c>
      <c r="D103" t="s">
        <v>16</v>
      </c>
      <c r="E103">
        <v>2021</v>
      </c>
      <c r="F103" t="s">
        <v>17</v>
      </c>
      <c r="G103" t="s">
        <v>53</v>
      </c>
      <c r="H103" t="s">
        <v>33</v>
      </c>
      <c r="I103" t="s">
        <v>36</v>
      </c>
      <c r="J103">
        <v>1</v>
      </c>
      <c r="K103">
        <v>1</v>
      </c>
      <c r="L103">
        <v>0</v>
      </c>
      <c r="M103">
        <v>1.9</v>
      </c>
      <c r="N103">
        <v>0.5</v>
      </c>
      <c r="O103">
        <v>1.4</v>
      </c>
      <c r="P103">
        <v>1.4</v>
      </c>
      <c r="Q103">
        <v>64</v>
      </c>
      <c r="R103">
        <v>1</v>
      </c>
      <c r="S103" t="s">
        <v>277</v>
      </c>
      <c r="T103">
        <v>0</v>
      </c>
      <c r="U103" t="s">
        <v>295</v>
      </c>
      <c r="V103">
        <v>0</v>
      </c>
      <c r="W103">
        <v>3060</v>
      </c>
      <c r="X103">
        <v>-0.89999999999999991</v>
      </c>
      <c r="Y103">
        <v>0.5</v>
      </c>
    </row>
    <row r="104" spans="1:25" x14ac:dyDescent="0.2">
      <c r="A104" t="s">
        <v>154</v>
      </c>
      <c r="B104">
        <v>9</v>
      </c>
      <c r="C104" s="1">
        <v>44370</v>
      </c>
      <c r="D104" t="s">
        <v>16</v>
      </c>
      <c r="E104">
        <v>2021</v>
      </c>
      <c r="F104" t="s">
        <v>17</v>
      </c>
      <c r="G104" t="s">
        <v>35</v>
      </c>
      <c r="H104" t="s">
        <v>33</v>
      </c>
      <c r="I104" t="s">
        <v>20</v>
      </c>
      <c r="J104">
        <v>2</v>
      </c>
      <c r="K104">
        <v>0</v>
      </c>
      <c r="L104">
        <v>2</v>
      </c>
      <c r="M104">
        <v>3.1</v>
      </c>
      <c r="N104">
        <v>0.8</v>
      </c>
      <c r="O104">
        <v>2.2999999999999998</v>
      </c>
      <c r="P104">
        <v>0.29999999999999982</v>
      </c>
      <c r="Q104">
        <v>76</v>
      </c>
      <c r="R104">
        <v>1</v>
      </c>
      <c r="S104" t="s">
        <v>275</v>
      </c>
      <c r="T104">
        <v>1</v>
      </c>
      <c r="U104" t="s">
        <v>295</v>
      </c>
      <c r="V104">
        <v>0</v>
      </c>
      <c r="W104">
        <v>3060</v>
      </c>
      <c r="X104">
        <v>-1.1000000000000001</v>
      </c>
      <c r="Y104">
        <v>-0.8</v>
      </c>
    </row>
    <row r="105" spans="1:25" x14ac:dyDescent="0.2">
      <c r="A105" t="s">
        <v>155</v>
      </c>
      <c r="B105">
        <v>10</v>
      </c>
      <c r="C105" s="1">
        <v>44373</v>
      </c>
      <c r="D105" t="s">
        <v>16</v>
      </c>
      <c r="E105">
        <v>2021</v>
      </c>
      <c r="F105" t="s">
        <v>17</v>
      </c>
      <c r="G105" t="s">
        <v>62</v>
      </c>
      <c r="H105" t="s">
        <v>19</v>
      </c>
      <c r="I105" t="s">
        <v>25</v>
      </c>
      <c r="J105">
        <v>1</v>
      </c>
      <c r="K105">
        <v>2</v>
      </c>
      <c r="L105">
        <v>-1</v>
      </c>
      <c r="M105">
        <v>0.8</v>
      </c>
      <c r="N105">
        <v>1.4</v>
      </c>
      <c r="O105">
        <v>-0.59999999999999987</v>
      </c>
      <c r="P105">
        <v>0.40000000000000013</v>
      </c>
      <c r="Q105">
        <v>33</v>
      </c>
      <c r="R105">
        <v>1</v>
      </c>
      <c r="S105" t="s">
        <v>277</v>
      </c>
      <c r="T105">
        <v>0</v>
      </c>
      <c r="U105" t="s">
        <v>295</v>
      </c>
      <c r="V105">
        <v>0</v>
      </c>
      <c r="W105">
        <v>3060</v>
      </c>
      <c r="X105">
        <v>0.19999999999999996</v>
      </c>
      <c r="Y105">
        <v>0.60000000000000009</v>
      </c>
    </row>
    <row r="106" spans="1:25" x14ac:dyDescent="0.2">
      <c r="A106" t="s">
        <v>156</v>
      </c>
      <c r="B106">
        <v>11</v>
      </c>
      <c r="C106" s="1">
        <v>44380</v>
      </c>
      <c r="D106" t="s">
        <v>16</v>
      </c>
      <c r="E106">
        <v>2021</v>
      </c>
      <c r="F106" t="s">
        <v>17</v>
      </c>
      <c r="G106" t="s">
        <v>22</v>
      </c>
      <c r="H106" t="s">
        <v>19</v>
      </c>
      <c r="I106" t="s">
        <v>20</v>
      </c>
      <c r="J106">
        <v>1</v>
      </c>
      <c r="K106">
        <v>0</v>
      </c>
      <c r="L106">
        <v>1</v>
      </c>
      <c r="M106">
        <v>0.6</v>
      </c>
      <c r="N106">
        <v>1.3</v>
      </c>
      <c r="O106">
        <v>-0.70000000000000007</v>
      </c>
      <c r="P106">
        <v>-1.7000000000000002</v>
      </c>
      <c r="Q106">
        <v>90</v>
      </c>
      <c r="R106">
        <v>1</v>
      </c>
      <c r="S106" t="s">
        <v>275</v>
      </c>
      <c r="T106">
        <v>1</v>
      </c>
      <c r="U106" t="s">
        <v>295</v>
      </c>
      <c r="V106">
        <v>0</v>
      </c>
      <c r="W106">
        <v>3060</v>
      </c>
      <c r="X106">
        <v>0.4</v>
      </c>
      <c r="Y106">
        <v>-1.3</v>
      </c>
    </row>
    <row r="107" spans="1:25" x14ac:dyDescent="0.2">
      <c r="A107" t="s">
        <v>157</v>
      </c>
      <c r="B107">
        <v>12</v>
      </c>
      <c r="C107" s="1">
        <v>44384</v>
      </c>
      <c r="D107" t="s">
        <v>16</v>
      </c>
      <c r="E107">
        <v>2021</v>
      </c>
      <c r="F107" t="s">
        <v>17</v>
      </c>
      <c r="G107" t="s">
        <v>146</v>
      </c>
      <c r="H107" t="s">
        <v>19</v>
      </c>
      <c r="I107" t="s">
        <v>20</v>
      </c>
      <c r="J107">
        <v>2</v>
      </c>
      <c r="K107">
        <v>0</v>
      </c>
      <c r="L107">
        <v>2</v>
      </c>
      <c r="M107">
        <v>2</v>
      </c>
      <c r="N107">
        <v>0.7</v>
      </c>
      <c r="O107">
        <v>1.3</v>
      </c>
      <c r="P107">
        <v>-0.7</v>
      </c>
      <c r="Q107">
        <v>90</v>
      </c>
      <c r="R107">
        <v>1</v>
      </c>
      <c r="S107" t="s">
        <v>275</v>
      </c>
      <c r="T107">
        <v>1</v>
      </c>
      <c r="U107" t="s">
        <v>295</v>
      </c>
      <c r="V107">
        <v>0</v>
      </c>
      <c r="W107">
        <v>3060</v>
      </c>
      <c r="X107">
        <v>0</v>
      </c>
      <c r="Y107">
        <v>-0.7</v>
      </c>
    </row>
    <row r="108" spans="1:25" x14ac:dyDescent="0.2">
      <c r="A108" t="s">
        <v>158</v>
      </c>
      <c r="B108">
        <v>13</v>
      </c>
      <c r="C108" s="1">
        <v>44394</v>
      </c>
      <c r="D108" t="s">
        <v>16</v>
      </c>
      <c r="E108">
        <v>2021</v>
      </c>
      <c r="F108" t="s">
        <v>17</v>
      </c>
      <c r="G108" t="s">
        <v>22</v>
      </c>
      <c r="H108" t="s">
        <v>33</v>
      </c>
      <c r="I108" t="s">
        <v>20</v>
      </c>
      <c r="J108">
        <v>2</v>
      </c>
      <c r="K108">
        <v>1</v>
      </c>
      <c r="L108">
        <v>1</v>
      </c>
      <c r="M108">
        <v>4.8</v>
      </c>
      <c r="N108">
        <v>0.9</v>
      </c>
      <c r="O108">
        <v>3.9</v>
      </c>
      <c r="P108">
        <v>2.9</v>
      </c>
      <c r="Q108">
        <v>90</v>
      </c>
      <c r="R108">
        <v>1</v>
      </c>
      <c r="S108" t="s">
        <v>275</v>
      </c>
      <c r="T108">
        <v>1</v>
      </c>
      <c r="U108" t="s">
        <v>295</v>
      </c>
      <c r="V108">
        <v>0</v>
      </c>
      <c r="W108">
        <v>3060</v>
      </c>
      <c r="X108">
        <v>-2.8</v>
      </c>
      <c r="Y108">
        <v>9.9999999999999978E-2</v>
      </c>
    </row>
    <row r="109" spans="1:25" x14ac:dyDescent="0.2">
      <c r="A109" t="s">
        <v>159</v>
      </c>
      <c r="B109">
        <v>14</v>
      </c>
      <c r="C109" s="1">
        <v>44398</v>
      </c>
      <c r="D109" t="s">
        <v>16</v>
      </c>
      <c r="E109">
        <v>2021</v>
      </c>
      <c r="F109" t="s">
        <v>17</v>
      </c>
      <c r="G109" t="s">
        <v>42</v>
      </c>
      <c r="H109" t="s">
        <v>19</v>
      </c>
      <c r="I109" t="s">
        <v>25</v>
      </c>
      <c r="J109">
        <v>1</v>
      </c>
      <c r="K109">
        <v>2</v>
      </c>
      <c r="L109">
        <v>-1</v>
      </c>
      <c r="M109">
        <v>2.2000000000000002</v>
      </c>
      <c r="N109">
        <v>0.6</v>
      </c>
      <c r="O109">
        <v>1.6</v>
      </c>
      <c r="P109">
        <v>2.6</v>
      </c>
      <c r="Q109">
        <v>79</v>
      </c>
      <c r="R109">
        <v>1</v>
      </c>
      <c r="S109" t="s">
        <v>275</v>
      </c>
      <c r="T109">
        <v>0</v>
      </c>
      <c r="U109" t="s">
        <v>295</v>
      </c>
      <c r="V109">
        <v>0</v>
      </c>
      <c r="W109">
        <v>3060</v>
      </c>
      <c r="X109">
        <v>-1.2000000000000002</v>
      </c>
      <c r="Y109">
        <v>1.4</v>
      </c>
    </row>
    <row r="110" spans="1:25" x14ac:dyDescent="0.2">
      <c r="A110" t="s">
        <v>160</v>
      </c>
      <c r="B110">
        <v>15</v>
      </c>
      <c r="C110" s="1">
        <v>44401</v>
      </c>
      <c r="D110" t="s">
        <v>16</v>
      </c>
      <c r="E110">
        <v>2021</v>
      </c>
      <c r="F110" t="s">
        <v>17</v>
      </c>
      <c r="G110" t="s">
        <v>29</v>
      </c>
      <c r="H110" t="s">
        <v>33</v>
      </c>
      <c r="I110" t="s">
        <v>36</v>
      </c>
      <c r="J110">
        <v>2</v>
      </c>
      <c r="K110">
        <v>2</v>
      </c>
      <c r="L110">
        <v>0</v>
      </c>
      <c r="M110">
        <v>1</v>
      </c>
      <c r="N110">
        <v>1.2</v>
      </c>
      <c r="O110">
        <v>-0.19999999999999996</v>
      </c>
      <c r="P110">
        <v>-0.19999999999999996</v>
      </c>
      <c r="Q110">
        <v>90</v>
      </c>
      <c r="R110">
        <v>1</v>
      </c>
      <c r="S110" t="s">
        <v>275</v>
      </c>
      <c r="T110">
        <v>0</v>
      </c>
      <c r="U110" t="s">
        <v>295</v>
      </c>
      <c r="V110">
        <v>0</v>
      </c>
      <c r="W110">
        <v>3060</v>
      </c>
      <c r="X110">
        <v>1</v>
      </c>
      <c r="Y110">
        <v>0.8</v>
      </c>
    </row>
    <row r="111" spans="1:25" x14ac:dyDescent="0.2">
      <c r="A111" t="s">
        <v>161</v>
      </c>
      <c r="B111">
        <v>16</v>
      </c>
      <c r="C111" s="1">
        <v>44405</v>
      </c>
      <c r="D111" t="s">
        <v>16</v>
      </c>
      <c r="E111">
        <v>2021</v>
      </c>
      <c r="F111" t="s">
        <v>17</v>
      </c>
      <c r="G111" t="s">
        <v>38</v>
      </c>
      <c r="H111" t="s">
        <v>33</v>
      </c>
      <c r="I111" t="s">
        <v>36</v>
      </c>
      <c r="J111">
        <v>2</v>
      </c>
      <c r="K111">
        <v>2</v>
      </c>
      <c r="L111">
        <v>0</v>
      </c>
      <c r="M111">
        <v>2.2000000000000002</v>
      </c>
      <c r="N111">
        <v>1.1000000000000001</v>
      </c>
      <c r="O111">
        <v>1.1000000000000001</v>
      </c>
      <c r="P111">
        <v>1.1000000000000001</v>
      </c>
      <c r="Q111">
        <v>90</v>
      </c>
      <c r="R111">
        <v>1</v>
      </c>
      <c r="S111" t="s">
        <v>275</v>
      </c>
      <c r="T111">
        <v>0</v>
      </c>
      <c r="U111" t="s">
        <v>295</v>
      </c>
      <c r="V111">
        <v>0</v>
      </c>
      <c r="W111">
        <v>3060</v>
      </c>
      <c r="X111">
        <v>-0.20000000000000018</v>
      </c>
      <c r="Y111">
        <v>0.89999999999999991</v>
      </c>
    </row>
    <row r="112" spans="1:25" x14ac:dyDescent="0.2">
      <c r="A112" t="s">
        <v>162</v>
      </c>
      <c r="B112">
        <v>17</v>
      </c>
      <c r="C112" s="1">
        <v>44412</v>
      </c>
      <c r="D112" t="s">
        <v>16</v>
      </c>
      <c r="E112">
        <v>2021</v>
      </c>
      <c r="F112" t="s">
        <v>17</v>
      </c>
      <c r="G112" t="s">
        <v>62</v>
      </c>
      <c r="H112" t="s">
        <v>33</v>
      </c>
      <c r="I112" t="s">
        <v>25</v>
      </c>
      <c r="J112">
        <v>1</v>
      </c>
      <c r="K112">
        <v>4</v>
      </c>
      <c r="L112">
        <v>-3</v>
      </c>
      <c r="M112">
        <v>2.2999999999999998</v>
      </c>
      <c r="N112">
        <v>2</v>
      </c>
      <c r="O112">
        <v>0.29999999999999982</v>
      </c>
      <c r="P112">
        <v>3.3</v>
      </c>
      <c r="Q112">
        <v>90</v>
      </c>
      <c r="R112">
        <v>1</v>
      </c>
      <c r="S112" t="s">
        <v>275</v>
      </c>
      <c r="T112">
        <v>0</v>
      </c>
      <c r="U112" t="s">
        <v>295</v>
      </c>
      <c r="V112">
        <v>0</v>
      </c>
      <c r="W112">
        <v>3060</v>
      </c>
      <c r="X112">
        <v>-1.2999999999999998</v>
      </c>
      <c r="Y112">
        <v>2</v>
      </c>
    </row>
    <row r="113" spans="1:25" x14ac:dyDescent="0.2">
      <c r="A113" t="s">
        <v>163</v>
      </c>
      <c r="B113">
        <v>18</v>
      </c>
      <c r="C113" s="1">
        <v>44416</v>
      </c>
      <c r="D113" t="s">
        <v>16</v>
      </c>
      <c r="E113">
        <v>2021</v>
      </c>
      <c r="F113" t="s">
        <v>17</v>
      </c>
      <c r="G113" t="s">
        <v>47</v>
      </c>
      <c r="H113" t="s">
        <v>19</v>
      </c>
      <c r="I113" t="s">
        <v>25</v>
      </c>
      <c r="J113">
        <v>1</v>
      </c>
      <c r="K113">
        <v>2</v>
      </c>
      <c r="L113">
        <v>-1</v>
      </c>
      <c r="M113">
        <v>1.6</v>
      </c>
      <c r="N113">
        <v>1.8</v>
      </c>
      <c r="O113">
        <v>-0.19999999999999996</v>
      </c>
      <c r="P113">
        <v>0.8</v>
      </c>
      <c r="Q113">
        <v>90</v>
      </c>
      <c r="R113">
        <v>1</v>
      </c>
      <c r="S113" t="s">
        <v>275</v>
      </c>
      <c r="T113">
        <v>0</v>
      </c>
      <c r="U113" t="s">
        <v>295</v>
      </c>
      <c r="V113">
        <v>0</v>
      </c>
      <c r="W113">
        <v>3060</v>
      </c>
      <c r="X113">
        <v>-0.60000000000000009</v>
      </c>
      <c r="Y113">
        <v>0.19999999999999996</v>
      </c>
    </row>
    <row r="114" spans="1:25" x14ac:dyDescent="0.2">
      <c r="A114" t="s">
        <v>164</v>
      </c>
      <c r="B114">
        <v>19</v>
      </c>
      <c r="C114" s="1">
        <v>44423</v>
      </c>
      <c r="D114" t="s">
        <v>16</v>
      </c>
      <c r="E114">
        <v>2021</v>
      </c>
      <c r="F114" t="s">
        <v>17</v>
      </c>
      <c r="G114" t="s">
        <v>27</v>
      </c>
      <c r="H114" t="s">
        <v>19</v>
      </c>
      <c r="I114" t="s">
        <v>25</v>
      </c>
      <c r="J114">
        <v>0</v>
      </c>
      <c r="K114">
        <v>1</v>
      </c>
      <c r="L114">
        <v>-1</v>
      </c>
      <c r="M114">
        <v>1.2</v>
      </c>
      <c r="N114">
        <v>1.1000000000000001</v>
      </c>
      <c r="O114">
        <v>9.9999999999999867E-2</v>
      </c>
      <c r="P114">
        <v>1.0999999999999999</v>
      </c>
      <c r="Q114">
        <v>90</v>
      </c>
      <c r="R114">
        <v>1</v>
      </c>
      <c r="S114" t="s">
        <v>275</v>
      </c>
      <c r="T114">
        <v>0</v>
      </c>
      <c r="U114" t="s">
        <v>295</v>
      </c>
      <c r="V114">
        <v>0</v>
      </c>
      <c r="W114">
        <v>3060</v>
      </c>
      <c r="X114">
        <v>-1.2</v>
      </c>
      <c r="Y114">
        <v>-0.10000000000000009</v>
      </c>
    </row>
    <row r="115" spans="1:25" x14ac:dyDescent="0.2">
      <c r="A115" t="s">
        <v>165</v>
      </c>
      <c r="B115">
        <v>20</v>
      </c>
      <c r="C115" s="1">
        <v>44429</v>
      </c>
      <c r="D115" t="s">
        <v>16</v>
      </c>
      <c r="E115">
        <v>2021</v>
      </c>
      <c r="F115" t="s">
        <v>17</v>
      </c>
      <c r="G115" t="s">
        <v>29</v>
      </c>
      <c r="H115" t="s">
        <v>19</v>
      </c>
      <c r="I115" t="s">
        <v>25</v>
      </c>
      <c r="J115">
        <v>1</v>
      </c>
      <c r="K115">
        <v>2</v>
      </c>
      <c r="L115">
        <v>-1</v>
      </c>
      <c r="M115">
        <v>3.9</v>
      </c>
      <c r="N115">
        <v>1.5</v>
      </c>
      <c r="O115">
        <v>2.4</v>
      </c>
      <c r="P115">
        <v>3.4</v>
      </c>
      <c r="Q115">
        <v>16</v>
      </c>
      <c r="R115">
        <v>1</v>
      </c>
      <c r="S115" t="s">
        <v>276</v>
      </c>
      <c r="T115">
        <v>0</v>
      </c>
      <c r="U115" t="s">
        <v>295</v>
      </c>
      <c r="V115">
        <v>0</v>
      </c>
      <c r="W115">
        <v>3060</v>
      </c>
      <c r="X115">
        <v>-2.9</v>
      </c>
      <c r="Y115">
        <v>0.5</v>
      </c>
    </row>
    <row r="116" spans="1:25" x14ac:dyDescent="0.2">
      <c r="A116" t="s">
        <v>166</v>
      </c>
      <c r="B116">
        <v>21</v>
      </c>
      <c r="C116" s="1">
        <v>44436</v>
      </c>
      <c r="D116" t="s">
        <v>16</v>
      </c>
      <c r="E116">
        <v>2021</v>
      </c>
      <c r="F116" t="s">
        <v>17</v>
      </c>
      <c r="G116" t="s">
        <v>24</v>
      </c>
      <c r="H116" t="s">
        <v>33</v>
      </c>
      <c r="I116" t="s">
        <v>36</v>
      </c>
      <c r="J116">
        <v>3</v>
      </c>
      <c r="K116">
        <v>3</v>
      </c>
      <c r="L116">
        <v>0</v>
      </c>
      <c r="M116">
        <v>2.9</v>
      </c>
      <c r="N116">
        <v>1.3</v>
      </c>
      <c r="O116">
        <v>1.5999999999999999</v>
      </c>
      <c r="P116">
        <v>1.5999999999999999</v>
      </c>
      <c r="Q116">
        <v>0</v>
      </c>
      <c r="R116">
        <v>0</v>
      </c>
      <c r="S116" t="s">
        <v>276</v>
      </c>
      <c r="T116">
        <v>0</v>
      </c>
      <c r="U116" t="s">
        <v>295</v>
      </c>
      <c r="V116">
        <v>0</v>
      </c>
      <c r="W116">
        <v>3060</v>
      </c>
      <c r="X116">
        <v>0.10000000000000009</v>
      </c>
      <c r="Y116">
        <v>1.7</v>
      </c>
    </row>
    <row r="117" spans="1:25" x14ac:dyDescent="0.2">
      <c r="A117" t="s">
        <v>167</v>
      </c>
      <c r="B117">
        <v>22</v>
      </c>
      <c r="C117" s="1">
        <v>44442</v>
      </c>
      <c r="D117" t="s">
        <v>16</v>
      </c>
      <c r="E117">
        <v>2021</v>
      </c>
      <c r="F117" t="s">
        <v>17</v>
      </c>
      <c r="G117" t="s">
        <v>62</v>
      </c>
      <c r="H117" t="s">
        <v>33</v>
      </c>
      <c r="I117" t="s">
        <v>20</v>
      </c>
      <c r="J117">
        <v>4</v>
      </c>
      <c r="K117">
        <v>0</v>
      </c>
      <c r="L117">
        <v>4</v>
      </c>
      <c r="M117">
        <v>3.5</v>
      </c>
      <c r="N117">
        <v>0.4</v>
      </c>
      <c r="O117">
        <v>3.1</v>
      </c>
      <c r="P117">
        <v>-0.89999999999999991</v>
      </c>
      <c r="Q117">
        <v>0</v>
      </c>
      <c r="R117">
        <v>0</v>
      </c>
      <c r="S117" t="s">
        <v>276</v>
      </c>
      <c r="T117">
        <v>1</v>
      </c>
      <c r="U117" t="s">
        <v>295</v>
      </c>
      <c r="V117">
        <v>0</v>
      </c>
      <c r="W117">
        <v>3060</v>
      </c>
      <c r="X117">
        <v>0.5</v>
      </c>
      <c r="Y117">
        <v>-0.4</v>
      </c>
    </row>
    <row r="118" spans="1:25" x14ac:dyDescent="0.2">
      <c r="A118" t="s">
        <v>168</v>
      </c>
      <c r="B118">
        <v>23</v>
      </c>
      <c r="C118" s="1">
        <v>44451</v>
      </c>
      <c r="D118" t="s">
        <v>16</v>
      </c>
      <c r="E118">
        <v>2021</v>
      </c>
      <c r="F118" t="s">
        <v>17</v>
      </c>
      <c r="G118" t="s">
        <v>22</v>
      </c>
      <c r="H118" t="s">
        <v>33</v>
      </c>
      <c r="I118" t="s">
        <v>20</v>
      </c>
      <c r="J118">
        <v>3</v>
      </c>
      <c r="K118">
        <v>2</v>
      </c>
      <c r="L118">
        <v>1</v>
      </c>
      <c r="M118">
        <v>1</v>
      </c>
      <c r="N118">
        <v>1</v>
      </c>
      <c r="O118">
        <v>0</v>
      </c>
      <c r="P118">
        <v>-1</v>
      </c>
      <c r="Q118">
        <v>0</v>
      </c>
      <c r="R118">
        <v>0</v>
      </c>
      <c r="S118" t="s">
        <v>276</v>
      </c>
      <c r="T118">
        <v>1</v>
      </c>
      <c r="U118" t="s">
        <v>295</v>
      </c>
      <c r="V118">
        <v>0</v>
      </c>
      <c r="W118">
        <v>3060</v>
      </c>
      <c r="X118">
        <v>2</v>
      </c>
      <c r="Y118">
        <v>1</v>
      </c>
    </row>
    <row r="119" spans="1:25" x14ac:dyDescent="0.2">
      <c r="A119" t="s">
        <v>169</v>
      </c>
      <c r="B119">
        <v>24</v>
      </c>
      <c r="C119" s="1">
        <v>44454</v>
      </c>
      <c r="D119" t="s">
        <v>16</v>
      </c>
      <c r="E119">
        <v>2021</v>
      </c>
      <c r="F119" t="s">
        <v>17</v>
      </c>
      <c r="G119" t="s">
        <v>146</v>
      </c>
      <c r="H119" t="s">
        <v>19</v>
      </c>
      <c r="I119" t="s">
        <v>20</v>
      </c>
      <c r="J119">
        <v>2</v>
      </c>
      <c r="K119">
        <v>1</v>
      </c>
      <c r="L119">
        <v>1</v>
      </c>
      <c r="M119">
        <v>2.5</v>
      </c>
      <c r="N119">
        <v>1.3</v>
      </c>
      <c r="O119">
        <v>1.2</v>
      </c>
      <c r="P119">
        <v>0.19999999999999996</v>
      </c>
      <c r="Q119">
        <v>0</v>
      </c>
      <c r="R119">
        <v>0</v>
      </c>
      <c r="S119" t="s">
        <v>276</v>
      </c>
      <c r="T119">
        <v>1</v>
      </c>
      <c r="U119" t="s">
        <v>295</v>
      </c>
      <c r="V119">
        <v>0</v>
      </c>
      <c r="W119">
        <v>3060</v>
      </c>
      <c r="X119">
        <v>-0.5</v>
      </c>
      <c r="Y119">
        <v>-0.30000000000000004</v>
      </c>
    </row>
    <row r="120" spans="1:25" x14ac:dyDescent="0.2">
      <c r="A120" t="s">
        <v>170</v>
      </c>
      <c r="B120">
        <v>25</v>
      </c>
      <c r="C120" s="1">
        <v>44458</v>
      </c>
      <c r="D120" t="s">
        <v>16</v>
      </c>
      <c r="E120">
        <v>2021</v>
      </c>
      <c r="F120" t="s">
        <v>17</v>
      </c>
      <c r="G120" t="s">
        <v>42</v>
      </c>
      <c r="H120" t="s">
        <v>19</v>
      </c>
      <c r="I120" t="s">
        <v>25</v>
      </c>
      <c r="J120">
        <v>1</v>
      </c>
      <c r="K120">
        <v>2</v>
      </c>
      <c r="L120">
        <v>-1</v>
      </c>
      <c r="M120">
        <v>2.6</v>
      </c>
      <c r="N120">
        <v>1.9</v>
      </c>
      <c r="O120">
        <v>0.70000000000000018</v>
      </c>
      <c r="P120">
        <v>1.7000000000000002</v>
      </c>
      <c r="Q120">
        <v>0</v>
      </c>
      <c r="R120">
        <v>0</v>
      </c>
      <c r="S120" t="s">
        <v>276</v>
      </c>
      <c r="T120">
        <v>0</v>
      </c>
      <c r="U120" t="s">
        <v>295</v>
      </c>
      <c r="V120">
        <v>0</v>
      </c>
      <c r="W120">
        <v>3060</v>
      </c>
      <c r="X120">
        <v>-1.6</v>
      </c>
      <c r="Y120">
        <v>0.10000000000000009</v>
      </c>
    </row>
    <row r="121" spans="1:25" x14ac:dyDescent="0.2">
      <c r="A121" t="s">
        <v>171</v>
      </c>
      <c r="B121">
        <v>26</v>
      </c>
      <c r="C121" s="1">
        <v>44464</v>
      </c>
      <c r="D121" t="s">
        <v>16</v>
      </c>
      <c r="E121">
        <v>2021</v>
      </c>
      <c r="F121" t="s">
        <v>17</v>
      </c>
      <c r="G121" t="s">
        <v>47</v>
      </c>
      <c r="H121" t="s">
        <v>19</v>
      </c>
      <c r="I121" t="s">
        <v>25</v>
      </c>
      <c r="J121">
        <v>0</v>
      </c>
      <c r="K121">
        <v>2</v>
      </c>
      <c r="L121">
        <v>-2</v>
      </c>
      <c r="M121">
        <v>1.3</v>
      </c>
      <c r="N121">
        <v>1.7</v>
      </c>
      <c r="O121">
        <v>-0.39999999999999991</v>
      </c>
      <c r="P121">
        <v>1.6</v>
      </c>
      <c r="Q121">
        <v>0</v>
      </c>
      <c r="R121">
        <v>0</v>
      </c>
      <c r="S121" t="s">
        <v>276</v>
      </c>
      <c r="T121">
        <v>0</v>
      </c>
      <c r="U121" t="s">
        <v>295</v>
      </c>
      <c r="V121">
        <v>0</v>
      </c>
      <c r="W121">
        <v>3060</v>
      </c>
      <c r="X121">
        <v>-1.3</v>
      </c>
      <c r="Y121">
        <v>0.30000000000000004</v>
      </c>
    </row>
    <row r="122" spans="1:25" x14ac:dyDescent="0.2">
      <c r="A122" t="s">
        <v>172</v>
      </c>
      <c r="B122">
        <v>27</v>
      </c>
      <c r="C122" s="1">
        <v>44468</v>
      </c>
      <c r="D122" t="s">
        <v>16</v>
      </c>
      <c r="E122">
        <v>2021</v>
      </c>
      <c r="F122" t="s">
        <v>17</v>
      </c>
      <c r="G122" t="s">
        <v>42</v>
      </c>
      <c r="H122" t="s">
        <v>33</v>
      </c>
      <c r="I122" t="s">
        <v>25</v>
      </c>
      <c r="J122">
        <v>1</v>
      </c>
      <c r="K122">
        <v>2</v>
      </c>
      <c r="L122">
        <v>-1</v>
      </c>
      <c r="M122">
        <v>1.2</v>
      </c>
      <c r="N122">
        <v>1.1000000000000001</v>
      </c>
      <c r="O122">
        <v>9.9999999999999867E-2</v>
      </c>
      <c r="P122">
        <v>1.0999999999999999</v>
      </c>
      <c r="Q122">
        <v>0</v>
      </c>
      <c r="R122">
        <v>0</v>
      </c>
      <c r="S122" t="s">
        <v>276</v>
      </c>
      <c r="T122">
        <v>0</v>
      </c>
      <c r="U122" t="s">
        <v>295</v>
      </c>
      <c r="V122">
        <v>0</v>
      </c>
      <c r="W122">
        <v>3060</v>
      </c>
      <c r="X122">
        <v>-0.19999999999999996</v>
      </c>
      <c r="Y122">
        <v>0.89999999999999991</v>
      </c>
    </row>
    <row r="123" spans="1:25" x14ac:dyDescent="0.2">
      <c r="A123" t="s">
        <v>173</v>
      </c>
      <c r="B123">
        <v>28</v>
      </c>
      <c r="C123" s="1">
        <v>44472</v>
      </c>
      <c r="D123" t="s">
        <v>16</v>
      </c>
      <c r="E123">
        <v>2021</v>
      </c>
      <c r="F123" t="s">
        <v>17</v>
      </c>
      <c r="G123" t="s">
        <v>24</v>
      </c>
      <c r="H123" t="s">
        <v>19</v>
      </c>
      <c r="I123" t="s">
        <v>36</v>
      </c>
      <c r="J123">
        <v>1</v>
      </c>
      <c r="K123">
        <v>1</v>
      </c>
      <c r="L123">
        <v>0</v>
      </c>
      <c r="M123">
        <v>1.3</v>
      </c>
      <c r="N123">
        <v>1.6</v>
      </c>
      <c r="O123">
        <v>-0.30000000000000004</v>
      </c>
      <c r="P123">
        <v>-0.30000000000000004</v>
      </c>
      <c r="Q123">
        <v>0</v>
      </c>
      <c r="R123">
        <v>0</v>
      </c>
      <c r="S123" t="s">
        <v>276</v>
      </c>
      <c r="T123">
        <v>0</v>
      </c>
      <c r="U123" t="s">
        <v>295</v>
      </c>
      <c r="V123">
        <v>0</v>
      </c>
      <c r="W123">
        <v>3060</v>
      </c>
      <c r="X123">
        <v>-0.30000000000000004</v>
      </c>
      <c r="Y123">
        <v>-0.60000000000000009</v>
      </c>
    </row>
    <row r="124" spans="1:25" x14ac:dyDescent="0.2">
      <c r="A124" t="s">
        <v>174</v>
      </c>
      <c r="B124">
        <v>29</v>
      </c>
      <c r="C124" s="1">
        <v>44485</v>
      </c>
      <c r="D124" t="s">
        <v>16</v>
      </c>
      <c r="E124">
        <v>2021</v>
      </c>
      <c r="F124" t="s">
        <v>17</v>
      </c>
      <c r="G124" t="s">
        <v>47</v>
      </c>
      <c r="H124" t="s">
        <v>33</v>
      </c>
      <c r="I124" t="s">
        <v>20</v>
      </c>
      <c r="J124">
        <v>3</v>
      </c>
      <c r="K124">
        <v>1</v>
      </c>
      <c r="L124">
        <v>2</v>
      </c>
      <c r="M124">
        <v>2.8</v>
      </c>
      <c r="N124">
        <v>2.4</v>
      </c>
      <c r="O124">
        <v>0.39999999999999991</v>
      </c>
      <c r="P124">
        <v>-1.6</v>
      </c>
      <c r="Q124">
        <v>0</v>
      </c>
      <c r="R124">
        <v>0</v>
      </c>
      <c r="S124" t="s">
        <v>276</v>
      </c>
      <c r="T124">
        <v>1</v>
      </c>
      <c r="U124" t="s">
        <v>295</v>
      </c>
      <c r="V124">
        <v>0</v>
      </c>
      <c r="W124">
        <v>3060</v>
      </c>
      <c r="X124">
        <v>0.20000000000000018</v>
      </c>
      <c r="Y124">
        <v>-1.4</v>
      </c>
    </row>
    <row r="125" spans="1:25" x14ac:dyDescent="0.2">
      <c r="A125" t="s">
        <v>175</v>
      </c>
      <c r="B125">
        <v>30</v>
      </c>
      <c r="C125" s="1">
        <v>44489</v>
      </c>
      <c r="D125" t="s">
        <v>16</v>
      </c>
      <c r="E125">
        <v>2021</v>
      </c>
      <c r="F125" t="s">
        <v>17</v>
      </c>
      <c r="G125" t="s">
        <v>35</v>
      </c>
      <c r="H125" t="s">
        <v>19</v>
      </c>
      <c r="I125" t="s">
        <v>20</v>
      </c>
      <c r="J125">
        <v>3</v>
      </c>
      <c r="K125">
        <v>2</v>
      </c>
      <c r="L125">
        <v>1</v>
      </c>
      <c r="M125">
        <v>1.8</v>
      </c>
      <c r="N125">
        <v>2</v>
      </c>
      <c r="O125">
        <v>-0.19999999999999996</v>
      </c>
      <c r="P125">
        <v>-1.2</v>
      </c>
      <c r="Q125">
        <v>0</v>
      </c>
      <c r="R125">
        <v>0</v>
      </c>
      <c r="S125" t="s">
        <v>276</v>
      </c>
      <c r="T125">
        <v>1</v>
      </c>
      <c r="U125" t="s">
        <v>295</v>
      </c>
      <c r="V125">
        <v>0</v>
      </c>
      <c r="W125">
        <v>3060</v>
      </c>
      <c r="X125">
        <v>1.2</v>
      </c>
      <c r="Y125">
        <v>0</v>
      </c>
    </row>
    <row r="126" spans="1:25" x14ac:dyDescent="0.2">
      <c r="A126" t="s">
        <v>176</v>
      </c>
      <c r="B126">
        <v>31</v>
      </c>
      <c r="C126" s="1">
        <v>44492</v>
      </c>
      <c r="D126" t="s">
        <v>16</v>
      </c>
      <c r="E126">
        <v>2021</v>
      </c>
      <c r="F126" t="s">
        <v>17</v>
      </c>
      <c r="G126" t="s">
        <v>38</v>
      </c>
      <c r="H126" t="s">
        <v>19</v>
      </c>
      <c r="I126" t="s">
        <v>36</v>
      </c>
      <c r="J126">
        <v>1</v>
      </c>
      <c r="K126">
        <v>1</v>
      </c>
      <c r="L126">
        <v>0</v>
      </c>
      <c r="M126">
        <v>0.6</v>
      </c>
      <c r="N126">
        <v>2.2000000000000002</v>
      </c>
      <c r="O126">
        <v>-1.6</v>
      </c>
      <c r="P126">
        <v>-1.6</v>
      </c>
      <c r="Q126">
        <v>0</v>
      </c>
      <c r="R126">
        <v>0</v>
      </c>
      <c r="S126" t="s">
        <v>276</v>
      </c>
      <c r="T126">
        <v>0</v>
      </c>
      <c r="U126" t="s">
        <v>295</v>
      </c>
      <c r="V126">
        <v>0</v>
      </c>
      <c r="W126">
        <v>3060</v>
      </c>
      <c r="X126">
        <v>0.4</v>
      </c>
      <c r="Y126">
        <v>-1.2000000000000002</v>
      </c>
    </row>
    <row r="127" spans="1:25" x14ac:dyDescent="0.2">
      <c r="A127" t="s">
        <v>177</v>
      </c>
      <c r="B127">
        <v>32</v>
      </c>
      <c r="C127" s="1">
        <v>44495</v>
      </c>
      <c r="D127" t="s">
        <v>16</v>
      </c>
      <c r="E127">
        <v>2021</v>
      </c>
      <c r="F127" t="s">
        <v>17</v>
      </c>
      <c r="G127" t="s">
        <v>18</v>
      </c>
      <c r="H127" t="s">
        <v>33</v>
      </c>
      <c r="I127" t="s">
        <v>20</v>
      </c>
      <c r="J127">
        <v>3</v>
      </c>
      <c r="K127">
        <v>0</v>
      </c>
      <c r="L127">
        <v>3</v>
      </c>
      <c r="M127">
        <v>1.1000000000000001</v>
      </c>
      <c r="N127">
        <v>1.7</v>
      </c>
      <c r="O127">
        <v>-0.59999999999999987</v>
      </c>
      <c r="P127">
        <v>-3.5999999999999996</v>
      </c>
      <c r="Q127">
        <v>12</v>
      </c>
      <c r="R127">
        <v>1</v>
      </c>
      <c r="S127" t="s">
        <v>276</v>
      </c>
      <c r="T127">
        <v>1</v>
      </c>
      <c r="U127" t="s">
        <v>295</v>
      </c>
      <c r="V127">
        <v>0</v>
      </c>
      <c r="W127">
        <v>3060</v>
      </c>
      <c r="X127">
        <v>1.9</v>
      </c>
      <c r="Y127">
        <v>-1.7</v>
      </c>
    </row>
    <row r="128" spans="1:25" x14ac:dyDescent="0.2">
      <c r="A128" t="s">
        <v>178</v>
      </c>
      <c r="B128">
        <v>33</v>
      </c>
      <c r="C128" s="1">
        <v>44502</v>
      </c>
      <c r="D128" t="s">
        <v>16</v>
      </c>
      <c r="E128">
        <v>2021</v>
      </c>
      <c r="F128" t="s">
        <v>17</v>
      </c>
      <c r="G128" t="s">
        <v>29</v>
      </c>
      <c r="H128" t="s">
        <v>33</v>
      </c>
      <c r="I128" t="s">
        <v>36</v>
      </c>
      <c r="J128">
        <v>1</v>
      </c>
      <c r="K128">
        <v>1</v>
      </c>
      <c r="L128">
        <v>0</v>
      </c>
      <c r="M128">
        <v>3.1</v>
      </c>
      <c r="N128">
        <v>0.8</v>
      </c>
      <c r="O128">
        <v>2.2999999999999998</v>
      </c>
      <c r="P128">
        <v>2.2999999999999998</v>
      </c>
      <c r="Q128">
        <v>18</v>
      </c>
      <c r="R128">
        <v>1</v>
      </c>
      <c r="S128" t="s">
        <v>276</v>
      </c>
      <c r="T128">
        <v>0</v>
      </c>
      <c r="U128" t="s">
        <v>295</v>
      </c>
      <c r="V128">
        <v>0</v>
      </c>
      <c r="W128">
        <v>3060</v>
      </c>
      <c r="X128">
        <v>-2.1</v>
      </c>
      <c r="Y128">
        <v>0.19999999999999996</v>
      </c>
    </row>
    <row r="129" spans="1:25" x14ac:dyDescent="0.2">
      <c r="A129" t="s">
        <v>179</v>
      </c>
      <c r="B129">
        <v>34</v>
      </c>
      <c r="C129" s="1">
        <v>44507</v>
      </c>
      <c r="D129" t="s">
        <v>16</v>
      </c>
      <c r="E129">
        <v>2021</v>
      </c>
      <c r="F129" t="s">
        <v>17</v>
      </c>
      <c r="G129" t="s">
        <v>65</v>
      </c>
      <c r="H129" t="s">
        <v>19</v>
      </c>
      <c r="I129" t="s">
        <v>25</v>
      </c>
      <c r="J129">
        <v>2</v>
      </c>
      <c r="K129">
        <v>5</v>
      </c>
      <c r="L129">
        <v>-3</v>
      </c>
      <c r="M129">
        <v>1.8</v>
      </c>
      <c r="N129">
        <v>3.1</v>
      </c>
      <c r="O129">
        <v>-1.3</v>
      </c>
      <c r="P129">
        <v>1.7</v>
      </c>
      <c r="Q129">
        <v>59</v>
      </c>
      <c r="R129">
        <v>1</v>
      </c>
      <c r="S129" t="s">
        <v>277</v>
      </c>
      <c r="T129">
        <v>0</v>
      </c>
      <c r="U129" t="s">
        <v>295</v>
      </c>
      <c r="V129">
        <v>0</v>
      </c>
      <c r="W129">
        <v>3060</v>
      </c>
      <c r="X129">
        <v>0.19999999999999996</v>
      </c>
      <c r="Y129">
        <v>1.9</v>
      </c>
    </row>
    <row r="130" spans="1:25" x14ac:dyDescent="0.2">
      <c r="A130" t="s">
        <v>180</v>
      </c>
      <c r="B130">
        <v>1</v>
      </c>
      <c r="C130" s="1">
        <v>44618</v>
      </c>
      <c r="D130" t="s">
        <v>16</v>
      </c>
      <c r="E130">
        <v>2022</v>
      </c>
      <c r="F130" t="s">
        <v>17</v>
      </c>
      <c r="G130" t="s">
        <v>65</v>
      </c>
      <c r="H130" t="s">
        <v>33</v>
      </c>
      <c r="I130" t="s">
        <v>20</v>
      </c>
      <c r="J130">
        <v>3</v>
      </c>
      <c r="K130">
        <v>0</v>
      </c>
      <c r="L130">
        <v>3</v>
      </c>
      <c r="M130">
        <v>2.4</v>
      </c>
      <c r="N130">
        <v>0.4</v>
      </c>
      <c r="O130">
        <v>2</v>
      </c>
      <c r="P130">
        <v>-1</v>
      </c>
      <c r="Q130">
        <v>86</v>
      </c>
      <c r="R130">
        <v>1</v>
      </c>
      <c r="S130" t="s">
        <v>275</v>
      </c>
      <c r="T130">
        <v>1</v>
      </c>
      <c r="U130" t="s">
        <v>296</v>
      </c>
      <c r="V130">
        <v>0</v>
      </c>
      <c r="W130">
        <v>3330</v>
      </c>
      <c r="X130">
        <v>0.60000000000000009</v>
      </c>
      <c r="Y130">
        <v>-0.4</v>
      </c>
    </row>
    <row r="131" spans="1:25" x14ac:dyDescent="0.2">
      <c r="A131" t="s">
        <v>181</v>
      </c>
      <c r="B131">
        <v>2</v>
      </c>
      <c r="C131" s="1">
        <v>44626</v>
      </c>
      <c r="D131" t="s">
        <v>16</v>
      </c>
      <c r="E131">
        <v>2022</v>
      </c>
      <c r="F131" t="s">
        <v>17</v>
      </c>
      <c r="G131" t="s">
        <v>42</v>
      </c>
      <c r="H131" t="s">
        <v>33</v>
      </c>
      <c r="I131" t="s">
        <v>36</v>
      </c>
      <c r="J131">
        <v>1</v>
      </c>
      <c r="K131">
        <v>1</v>
      </c>
      <c r="L131">
        <v>0</v>
      </c>
      <c r="M131">
        <v>2.2000000000000002</v>
      </c>
      <c r="N131">
        <v>0.6</v>
      </c>
      <c r="O131">
        <v>1.6</v>
      </c>
      <c r="P131">
        <v>1.6</v>
      </c>
      <c r="Q131">
        <v>45</v>
      </c>
      <c r="R131">
        <v>1</v>
      </c>
      <c r="S131" t="s">
        <v>277</v>
      </c>
      <c r="T131">
        <v>0</v>
      </c>
      <c r="U131" t="s">
        <v>296</v>
      </c>
      <c r="V131">
        <v>0</v>
      </c>
      <c r="W131">
        <v>3330</v>
      </c>
      <c r="X131">
        <v>-1.2000000000000002</v>
      </c>
      <c r="Y131">
        <v>0.4</v>
      </c>
    </row>
    <row r="132" spans="1:25" x14ac:dyDescent="0.2">
      <c r="A132" t="s">
        <v>182</v>
      </c>
      <c r="B132">
        <v>3</v>
      </c>
      <c r="C132" s="1">
        <v>44632</v>
      </c>
      <c r="D132" t="s">
        <v>16</v>
      </c>
      <c r="E132">
        <v>2022</v>
      </c>
      <c r="F132" t="s">
        <v>17</v>
      </c>
      <c r="G132" t="s">
        <v>120</v>
      </c>
      <c r="H132" t="s">
        <v>19</v>
      </c>
      <c r="I132" t="s">
        <v>20</v>
      </c>
      <c r="J132">
        <v>2</v>
      </c>
      <c r="K132">
        <v>0</v>
      </c>
      <c r="L132">
        <v>2</v>
      </c>
      <c r="M132">
        <v>0.5</v>
      </c>
      <c r="N132">
        <v>0.4</v>
      </c>
      <c r="O132">
        <v>9.9999999999999978E-2</v>
      </c>
      <c r="P132">
        <v>-1.9</v>
      </c>
      <c r="Q132">
        <v>70</v>
      </c>
      <c r="R132">
        <v>1</v>
      </c>
      <c r="S132" t="s">
        <v>275</v>
      </c>
      <c r="T132">
        <v>1</v>
      </c>
      <c r="U132" t="s">
        <v>296</v>
      </c>
      <c r="V132">
        <v>0</v>
      </c>
      <c r="W132">
        <v>3330</v>
      </c>
      <c r="X132">
        <v>1.5</v>
      </c>
      <c r="Y132">
        <v>-0.4</v>
      </c>
    </row>
    <row r="133" spans="1:25" x14ac:dyDescent="0.2">
      <c r="A133" t="s">
        <v>183</v>
      </c>
      <c r="B133">
        <v>4</v>
      </c>
      <c r="C133" s="1">
        <v>44640</v>
      </c>
      <c r="D133" t="s">
        <v>16</v>
      </c>
      <c r="E133">
        <v>2022</v>
      </c>
      <c r="F133" t="s">
        <v>17</v>
      </c>
      <c r="G133" t="s">
        <v>29</v>
      </c>
      <c r="H133" t="s">
        <v>33</v>
      </c>
      <c r="I133" t="s">
        <v>20</v>
      </c>
      <c r="J133">
        <v>3</v>
      </c>
      <c r="K133">
        <v>1</v>
      </c>
      <c r="L133">
        <v>2</v>
      </c>
      <c r="M133">
        <v>1.7</v>
      </c>
      <c r="N133">
        <v>1.1000000000000001</v>
      </c>
      <c r="O133">
        <v>0.59999999999999987</v>
      </c>
      <c r="P133">
        <v>-1.4000000000000001</v>
      </c>
      <c r="Q133">
        <v>81</v>
      </c>
      <c r="R133">
        <v>1</v>
      </c>
      <c r="S133" t="s">
        <v>275</v>
      </c>
      <c r="T133">
        <v>1</v>
      </c>
      <c r="U133" t="s">
        <v>296</v>
      </c>
      <c r="V133">
        <v>0</v>
      </c>
      <c r="W133">
        <v>3330</v>
      </c>
      <c r="X133">
        <v>1.3</v>
      </c>
      <c r="Y133">
        <v>-0.10000000000000009</v>
      </c>
    </row>
    <row r="134" spans="1:25" x14ac:dyDescent="0.2">
      <c r="A134" t="s">
        <v>184</v>
      </c>
      <c r="B134">
        <v>5</v>
      </c>
      <c r="C134" s="1">
        <v>44653</v>
      </c>
      <c r="D134" t="s">
        <v>16</v>
      </c>
      <c r="E134">
        <v>2022</v>
      </c>
      <c r="F134" t="s">
        <v>17</v>
      </c>
      <c r="G134" t="s">
        <v>55</v>
      </c>
      <c r="H134" t="s">
        <v>19</v>
      </c>
      <c r="I134" t="s">
        <v>20</v>
      </c>
      <c r="J134">
        <v>4</v>
      </c>
      <c r="K134">
        <v>2</v>
      </c>
      <c r="L134">
        <v>2</v>
      </c>
      <c r="M134">
        <v>2.7</v>
      </c>
      <c r="N134">
        <v>1.4</v>
      </c>
      <c r="O134">
        <v>1.3000000000000003</v>
      </c>
      <c r="P134">
        <v>-0.69999999999999973</v>
      </c>
      <c r="Q134">
        <v>74</v>
      </c>
      <c r="R134">
        <v>1</v>
      </c>
      <c r="S134" t="s">
        <v>275</v>
      </c>
      <c r="T134">
        <v>1</v>
      </c>
      <c r="U134" t="s">
        <v>296</v>
      </c>
      <c r="V134">
        <v>0</v>
      </c>
      <c r="W134">
        <v>3330</v>
      </c>
      <c r="X134">
        <v>1.2999999999999998</v>
      </c>
      <c r="Y134">
        <v>0.60000000000000009</v>
      </c>
    </row>
    <row r="135" spans="1:25" x14ac:dyDescent="0.2">
      <c r="A135" t="s">
        <v>185</v>
      </c>
      <c r="B135">
        <v>6</v>
      </c>
      <c r="C135" s="1">
        <v>44660</v>
      </c>
      <c r="D135" t="s">
        <v>16</v>
      </c>
      <c r="E135">
        <v>2022</v>
      </c>
      <c r="F135" t="s">
        <v>17</v>
      </c>
      <c r="G135" t="s">
        <v>24</v>
      </c>
      <c r="H135" t="s">
        <v>19</v>
      </c>
      <c r="I135" t="s">
        <v>25</v>
      </c>
      <c r="J135">
        <v>1</v>
      </c>
      <c r="K135">
        <v>2</v>
      </c>
      <c r="L135">
        <v>-1</v>
      </c>
      <c r="M135">
        <v>2</v>
      </c>
      <c r="N135">
        <v>1</v>
      </c>
      <c r="O135">
        <v>1</v>
      </c>
      <c r="P135">
        <v>2</v>
      </c>
      <c r="Q135">
        <v>90</v>
      </c>
      <c r="R135">
        <v>1</v>
      </c>
      <c r="S135" t="s">
        <v>275</v>
      </c>
      <c r="T135">
        <v>0</v>
      </c>
      <c r="U135" t="s">
        <v>296</v>
      </c>
      <c r="V135">
        <v>0</v>
      </c>
      <c r="W135">
        <v>3330</v>
      </c>
      <c r="X135">
        <v>-1</v>
      </c>
      <c r="Y135">
        <v>1</v>
      </c>
    </row>
    <row r="136" spans="1:25" x14ac:dyDescent="0.2">
      <c r="A136" t="s">
        <v>186</v>
      </c>
      <c r="B136">
        <v>7</v>
      </c>
      <c r="C136" s="1">
        <v>44668</v>
      </c>
      <c r="D136" t="s">
        <v>16</v>
      </c>
      <c r="E136">
        <v>2022</v>
      </c>
      <c r="F136" t="s">
        <v>17</v>
      </c>
      <c r="G136" t="s">
        <v>62</v>
      </c>
      <c r="H136" t="s">
        <v>33</v>
      </c>
      <c r="I136" t="s">
        <v>20</v>
      </c>
      <c r="J136">
        <v>3</v>
      </c>
      <c r="K136">
        <v>1</v>
      </c>
      <c r="L136">
        <v>2</v>
      </c>
      <c r="M136">
        <v>2</v>
      </c>
      <c r="N136">
        <v>1</v>
      </c>
      <c r="O136">
        <v>1</v>
      </c>
      <c r="P136">
        <v>-1</v>
      </c>
      <c r="Q136">
        <v>90</v>
      </c>
      <c r="R136">
        <v>1</v>
      </c>
      <c r="S136" t="s">
        <v>275</v>
      </c>
      <c r="T136">
        <v>1</v>
      </c>
      <c r="U136" t="s">
        <v>296</v>
      </c>
      <c r="V136">
        <v>0</v>
      </c>
      <c r="W136">
        <v>3330</v>
      </c>
      <c r="X136">
        <v>1</v>
      </c>
      <c r="Y136">
        <v>0</v>
      </c>
    </row>
    <row r="137" spans="1:25" x14ac:dyDescent="0.2">
      <c r="A137" t="s">
        <v>187</v>
      </c>
      <c r="B137">
        <v>8</v>
      </c>
      <c r="C137" s="1">
        <v>44675</v>
      </c>
      <c r="D137" t="s">
        <v>16</v>
      </c>
      <c r="E137">
        <v>2022</v>
      </c>
      <c r="F137" t="s">
        <v>17</v>
      </c>
      <c r="G137" t="s">
        <v>87</v>
      </c>
      <c r="H137" t="s">
        <v>19</v>
      </c>
      <c r="I137" t="s">
        <v>20</v>
      </c>
      <c r="J137">
        <v>2</v>
      </c>
      <c r="K137">
        <v>1</v>
      </c>
      <c r="L137">
        <v>1</v>
      </c>
      <c r="M137">
        <v>1.8</v>
      </c>
      <c r="N137">
        <v>1.5</v>
      </c>
      <c r="O137">
        <v>0.30000000000000004</v>
      </c>
      <c r="P137">
        <v>-0.7</v>
      </c>
      <c r="Q137">
        <v>87</v>
      </c>
      <c r="R137">
        <v>1</v>
      </c>
      <c r="S137" t="s">
        <v>275</v>
      </c>
      <c r="T137">
        <v>1</v>
      </c>
      <c r="U137" t="s">
        <v>296</v>
      </c>
      <c r="V137">
        <v>0</v>
      </c>
      <c r="W137">
        <v>3330</v>
      </c>
      <c r="X137">
        <v>0.19999999999999996</v>
      </c>
      <c r="Y137">
        <v>-0.5</v>
      </c>
    </row>
    <row r="138" spans="1:25" x14ac:dyDescent="0.2">
      <c r="A138" t="s">
        <v>188</v>
      </c>
      <c r="B138">
        <v>9</v>
      </c>
      <c r="C138" s="1">
        <v>44682</v>
      </c>
      <c r="D138" t="s">
        <v>16</v>
      </c>
      <c r="E138">
        <v>2022</v>
      </c>
      <c r="F138" t="s">
        <v>17</v>
      </c>
      <c r="G138" t="s">
        <v>38</v>
      </c>
      <c r="H138" t="s">
        <v>33</v>
      </c>
      <c r="I138" t="s">
        <v>20</v>
      </c>
      <c r="J138">
        <v>2</v>
      </c>
      <c r="K138">
        <v>0</v>
      </c>
      <c r="L138">
        <v>2</v>
      </c>
      <c r="M138">
        <v>2.2999999999999998</v>
      </c>
      <c r="N138">
        <v>0.7</v>
      </c>
      <c r="O138">
        <v>1.5999999999999999</v>
      </c>
      <c r="P138">
        <v>-0.40000000000000013</v>
      </c>
      <c r="Q138">
        <v>88</v>
      </c>
      <c r="R138">
        <v>1</v>
      </c>
      <c r="S138" t="s">
        <v>275</v>
      </c>
      <c r="T138">
        <v>1</v>
      </c>
      <c r="U138" t="s">
        <v>296</v>
      </c>
      <c r="V138">
        <v>0</v>
      </c>
      <c r="W138">
        <v>3330</v>
      </c>
      <c r="X138">
        <v>-0.29999999999999982</v>
      </c>
      <c r="Y138">
        <v>-0.7</v>
      </c>
    </row>
    <row r="139" spans="1:25" x14ac:dyDescent="0.2">
      <c r="A139" t="s">
        <v>189</v>
      </c>
      <c r="B139">
        <v>10</v>
      </c>
      <c r="C139" s="1">
        <v>44688</v>
      </c>
      <c r="D139" t="s">
        <v>16</v>
      </c>
      <c r="E139">
        <v>2022</v>
      </c>
      <c r="F139" t="s">
        <v>17</v>
      </c>
      <c r="G139" t="s">
        <v>51</v>
      </c>
      <c r="H139" t="s">
        <v>33</v>
      </c>
      <c r="I139" t="s">
        <v>36</v>
      </c>
      <c r="J139">
        <v>2</v>
      </c>
      <c r="K139">
        <v>2</v>
      </c>
      <c r="L139">
        <v>0</v>
      </c>
      <c r="M139">
        <v>1.4</v>
      </c>
      <c r="N139">
        <v>1.1000000000000001</v>
      </c>
      <c r="O139">
        <v>0.29999999999999982</v>
      </c>
      <c r="P139">
        <v>0.29999999999999982</v>
      </c>
      <c r="Q139">
        <v>90</v>
      </c>
      <c r="R139">
        <v>1</v>
      </c>
      <c r="S139" t="s">
        <v>275</v>
      </c>
      <c r="T139">
        <v>0</v>
      </c>
      <c r="U139" t="s">
        <v>296</v>
      </c>
      <c r="V139">
        <v>0</v>
      </c>
      <c r="W139">
        <v>3330</v>
      </c>
      <c r="X139">
        <v>0.60000000000000009</v>
      </c>
      <c r="Y139">
        <v>0.89999999999999991</v>
      </c>
    </row>
    <row r="140" spans="1:25" x14ac:dyDescent="0.2">
      <c r="A140" t="s">
        <v>190</v>
      </c>
      <c r="B140">
        <v>11</v>
      </c>
      <c r="C140" s="1">
        <v>44695</v>
      </c>
      <c r="D140" t="s">
        <v>16</v>
      </c>
      <c r="E140">
        <v>2022</v>
      </c>
      <c r="F140" t="s">
        <v>17</v>
      </c>
      <c r="G140" t="s">
        <v>65</v>
      </c>
      <c r="H140" t="s">
        <v>19</v>
      </c>
      <c r="I140" t="s">
        <v>25</v>
      </c>
      <c r="J140">
        <v>0</v>
      </c>
      <c r="K140">
        <v>2</v>
      </c>
      <c r="L140">
        <v>-2</v>
      </c>
      <c r="M140">
        <v>1.3</v>
      </c>
      <c r="N140">
        <v>3.1</v>
      </c>
      <c r="O140">
        <v>-1.8</v>
      </c>
      <c r="P140">
        <v>0.19999999999999996</v>
      </c>
      <c r="Q140">
        <v>90</v>
      </c>
      <c r="R140">
        <v>1</v>
      </c>
      <c r="S140" t="s">
        <v>275</v>
      </c>
      <c r="T140">
        <v>0</v>
      </c>
      <c r="U140" t="s">
        <v>296</v>
      </c>
      <c r="V140">
        <v>0</v>
      </c>
      <c r="W140">
        <v>3330</v>
      </c>
      <c r="X140">
        <v>-1.3</v>
      </c>
      <c r="Y140">
        <v>-1.1000000000000001</v>
      </c>
    </row>
    <row r="141" spans="1:25" x14ac:dyDescent="0.2">
      <c r="A141" t="s">
        <v>191</v>
      </c>
      <c r="B141">
        <v>12</v>
      </c>
      <c r="C141" s="1">
        <v>44699</v>
      </c>
      <c r="D141" t="s">
        <v>16</v>
      </c>
      <c r="E141">
        <v>2022</v>
      </c>
      <c r="F141" t="s">
        <v>17</v>
      </c>
      <c r="G141" t="s">
        <v>146</v>
      </c>
      <c r="H141" t="s">
        <v>33</v>
      </c>
      <c r="I141" t="s">
        <v>25</v>
      </c>
      <c r="J141">
        <v>1</v>
      </c>
      <c r="K141">
        <v>2</v>
      </c>
      <c r="L141">
        <v>-1</v>
      </c>
      <c r="M141">
        <v>1.9</v>
      </c>
      <c r="N141">
        <v>0.7</v>
      </c>
      <c r="O141">
        <v>1.2</v>
      </c>
      <c r="P141">
        <v>2.2000000000000002</v>
      </c>
      <c r="Q141">
        <v>90</v>
      </c>
      <c r="R141">
        <v>1</v>
      </c>
      <c r="S141" t="s">
        <v>275</v>
      </c>
      <c r="T141">
        <v>0</v>
      </c>
      <c r="U141" t="s">
        <v>296</v>
      </c>
      <c r="V141">
        <v>0</v>
      </c>
      <c r="W141">
        <v>3330</v>
      </c>
      <c r="X141">
        <v>-0.89999999999999991</v>
      </c>
      <c r="Y141">
        <v>1.3</v>
      </c>
    </row>
    <row r="142" spans="1:25" x14ac:dyDescent="0.2">
      <c r="A142" t="s">
        <v>192</v>
      </c>
      <c r="B142">
        <v>13</v>
      </c>
      <c r="C142" s="1">
        <v>44702</v>
      </c>
      <c r="D142" t="s">
        <v>16</v>
      </c>
      <c r="E142">
        <v>2022</v>
      </c>
      <c r="F142" t="s">
        <v>17</v>
      </c>
      <c r="G142" t="s">
        <v>49</v>
      </c>
      <c r="H142" t="s">
        <v>19</v>
      </c>
      <c r="I142" t="s">
        <v>20</v>
      </c>
      <c r="J142">
        <v>2</v>
      </c>
      <c r="K142">
        <v>0</v>
      </c>
      <c r="L142">
        <v>2</v>
      </c>
      <c r="M142">
        <v>1.8</v>
      </c>
      <c r="N142">
        <v>0.9</v>
      </c>
      <c r="O142">
        <v>0.9</v>
      </c>
      <c r="P142">
        <v>-1.1000000000000001</v>
      </c>
      <c r="Q142">
        <v>45</v>
      </c>
      <c r="R142">
        <v>1</v>
      </c>
      <c r="S142" t="s">
        <v>277</v>
      </c>
      <c r="T142">
        <v>1</v>
      </c>
      <c r="U142" t="s">
        <v>296</v>
      </c>
      <c r="V142">
        <v>0</v>
      </c>
      <c r="W142">
        <v>3330</v>
      </c>
      <c r="X142">
        <v>0.19999999999999996</v>
      </c>
      <c r="Y142">
        <v>-0.9</v>
      </c>
    </row>
    <row r="143" spans="1:25" x14ac:dyDescent="0.2">
      <c r="A143" t="s">
        <v>193</v>
      </c>
      <c r="B143">
        <v>14</v>
      </c>
      <c r="C143" s="1">
        <v>44709</v>
      </c>
      <c r="D143" t="s">
        <v>16</v>
      </c>
      <c r="E143">
        <v>2022</v>
      </c>
      <c r="F143" t="s">
        <v>17</v>
      </c>
      <c r="G143" t="s">
        <v>47</v>
      </c>
      <c r="H143" t="s">
        <v>33</v>
      </c>
      <c r="I143" t="s">
        <v>20</v>
      </c>
      <c r="J143">
        <v>3</v>
      </c>
      <c r="K143">
        <v>2</v>
      </c>
      <c r="L143">
        <v>1</v>
      </c>
      <c r="M143">
        <v>2.1</v>
      </c>
      <c r="N143">
        <v>1.9</v>
      </c>
      <c r="O143">
        <v>0.20000000000000018</v>
      </c>
      <c r="P143">
        <v>-0.79999999999999982</v>
      </c>
      <c r="Q143">
        <v>0</v>
      </c>
      <c r="R143">
        <v>0</v>
      </c>
      <c r="S143" t="s">
        <v>276</v>
      </c>
      <c r="T143">
        <v>1</v>
      </c>
      <c r="U143" t="s">
        <v>296</v>
      </c>
      <c r="V143">
        <v>0</v>
      </c>
      <c r="W143">
        <v>3330</v>
      </c>
      <c r="X143">
        <v>0.89999999999999991</v>
      </c>
      <c r="Y143">
        <v>0.10000000000000009</v>
      </c>
    </row>
    <row r="144" spans="1:25" x14ac:dyDescent="0.2">
      <c r="A144" t="s">
        <v>194</v>
      </c>
      <c r="B144">
        <v>15</v>
      </c>
      <c r="C144" s="1">
        <v>44730</v>
      </c>
      <c r="D144" t="s">
        <v>16</v>
      </c>
      <c r="E144">
        <v>2022</v>
      </c>
      <c r="F144" t="s">
        <v>17</v>
      </c>
      <c r="G144" t="s">
        <v>18</v>
      </c>
      <c r="H144" t="s">
        <v>19</v>
      </c>
      <c r="I144" t="s">
        <v>36</v>
      </c>
      <c r="J144">
        <v>1</v>
      </c>
      <c r="K144">
        <v>1</v>
      </c>
      <c r="L144">
        <v>0</v>
      </c>
      <c r="M144">
        <v>1.3</v>
      </c>
      <c r="N144">
        <v>1.2</v>
      </c>
      <c r="O144">
        <v>0.10000000000000009</v>
      </c>
      <c r="P144">
        <v>0.10000000000000009</v>
      </c>
      <c r="Q144">
        <v>45</v>
      </c>
      <c r="R144">
        <v>1</v>
      </c>
      <c r="S144" t="s">
        <v>277</v>
      </c>
      <c r="T144">
        <v>0</v>
      </c>
      <c r="U144" t="s">
        <v>296</v>
      </c>
      <c r="V144">
        <v>0</v>
      </c>
      <c r="W144">
        <v>3330</v>
      </c>
      <c r="X144">
        <v>-0.30000000000000004</v>
      </c>
      <c r="Y144">
        <v>-0.19999999999999996</v>
      </c>
    </row>
    <row r="145" spans="1:25" x14ac:dyDescent="0.2">
      <c r="A145" t="s">
        <v>195</v>
      </c>
      <c r="B145">
        <v>16</v>
      </c>
      <c r="C145" s="1">
        <v>44738</v>
      </c>
      <c r="D145" t="s">
        <v>16</v>
      </c>
      <c r="E145">
        <v>2022</v>
      </c>
      <c r="F145" t="s">
        <v>17</v>
      </c>
      <c r="G145" t="s">
        <v>60</v>
      </c>
      <c r="H145" t="s">
        <v>33</v>
      </c>
      <c r="I145" t="s">
        <v>20</v>
      </c>
      <c r="J145">
        <v>2</v>
      </c>
      <c r="K145">
        <v>0</v>
      </c>
      <c r="L145">
        <v>2</v>
      </c>
      <c r="M145">
        <v>1.7</v>
      </c>
      <c r="N145">
        <v>0.6</v>
      </c>
      <c r="O145">
        <v>1.1000000000000001</v>
      </c>
      <c r="P145">
        <v>-0.89999999999999991</v>
      </c>
      <c r="Q145">
        <v>90</v>
      </c>
      <c r="R145">
        <v>1</v>
      </c>
      <c r="S145" t="s">
        <v>275</v>
      </c>
      <c r="T145">
        <v>1</v>
      </c>
      <c r="U145" t="s">
        <v>296</v>
      </c>
      <c r="V145">
        <v>0</v>
      </c>
      <c r="W145">
        <v>3330</v>
      </c>
      <c r="X145">
        <v>0.30000000000000004</v>
      </c>
      <c r="Y145">
        <v>-0.6</v>
      </c>
    </row>
    <row r="146" spans="1:25" x14ac:dyDescent="0.2">
      <c r="A146" t="s">
        <v>196</v>
      </c>
      <c r="B146">
        <v>17</v>
      </c>
      <c r="C146" s="1">
        <v>44741</v>
      </c>
      <c r="D146" t="s">
        <v>16</v>
      </c>
      <c r="E146">
        <v>2022</v>
      </c>
      <c r="F146" t="s">
        <v>17</v>
      </c>
      <c r="G146" t="s">
        <v>35</v>
      </c>
      <c r="H146" t="s">
        <v>33</v>
      </c>
      <c r="I146" t="s">
        <v>20</v>
      </c>
      <c r="J146">
        <v>3</v>
      </c>
      <c r="K146">
        <v>1</v>
      </c>
      <c r="L146">
        <v>2</v>
      </c>
      <c r="M146">
        <v>1.9</v>
      </c>
      <c r="N146">
        <v>0.6</v>
      </c>
      <c r="O146">
        <v>1.2999999999999998</v>
      </c>
      <c r="P146">
        <v>-0.70000000000000018</v>
      </c>
      <c r="Q146">
        <v>90</v>
      </c>
      <c r="R146">
        <v>1</v>
      </c>
      <c r="S146" t="s">
        <v>275</v>
      </c>
      <c r="T146">
        <v>1</v>
      </c>
      <c r="U146" t="s">
        <v>296</v>
      </c>
      <c r="V146">
        <v>0</v>
      </c>
      <c r="W146">
        <v>3330</v>
      </c>
      <c r="X146">
        <v>1.1000000000000001</v>
      </c>
      <c r="Y146">
        <v>0.4</v>
      </c>
    </row>
    <row r="147" spans="1:25" x14ac:dyDescent="0.2">
      <c r="A147" t="s">
        <v>197</v>
      </c>
      <c r="B147">
        <v>18</v>
      </c>
      <c r="C147" s="1">
        <v>44744</v>
      </c>
      <c r="D147" t="s">
        <v>16</v>
      </c>
      <c r="E147">
        <v>2022</v>
      </c>
      <c r="F147" t="s">
        <v>17</v>
      </c>
      <c r="G147" t="s">
        <v>29</v>
      </c>
      <c r="H147" t="s">
        <v>19</v>
      </c>
      <c r="I147" t="s">
        <v>25</v>
      </c>
      <c r="J147">
        <v>0</v>
      </c>
      <c r="K147">
        <v>1</v>
      </c>
      <c r="L147">
        <v>-1</v>
      </c>
      <c r="M147">
        <v>0.4</v>
      </c>
      <c r="N147">
        <v>0.9</v>
      </c>
      <c r="O147">
        <v>-0.5</v>
      </c>
      <c r="P147">
        <v>0.5</v>
      </c>
      <c r="Q147">
        <v>0</v>
      </c>
      <c r="R147">
        <v>0</v>
      </c>
      <c r="S147" t="s">
        <v>276</v>
      </c>
      <c r="T147">
        <v>0</v>
      </c>
      <c r="U147" t="s">
        <v>296</v>
      </c>
      <c r="V147">
        <v>0</v>
      </c>
      <c r="W147">
        <v>3330</v>
      </c>
      <c r="X147">
        <v>-0.4</v>
      </c>
      <c r="Y147">
        <v>9.9999999999999978E-2</v>
      </c>
    </row>
    <row r="148" spans="1:25" x14ac:dyDescent="0.2">
      <c r="A148" t="s">
        <v>198</v>
      </c>
      <c r="B148">
        <v>19</v>
      </c>
      <c r="C148" s="1">
        <v>44750</v>
      </c>
      <c r="D148" t="s">
        <v>16</v>
      </c>
      <c r="E148">
        <v>2022</v>
      </c>
      <c r="F148" t="s">
        <v>17</v>
      </c>
      <c r="G148" t="s">
        <v>24</v>
      </c>
      <c r="H148" t="s">
        <v>33</v>
      </c>
      <c r="I148" t="s">
        <v>20</v>
      </c>
      <c r="J148">
        <v>3</v>
      </c>
      <c r="K148">
        <v>2</v>
      </c>
      <c r="L148">
        <v>1</v>
      </c>
      <c r="M148">
        <v>1.5</v>
      </c>
      <c r="N148">
        <v>1.7</v>
      </c>
      <c r="O148">
        <v>-0.19999999999999996</v>
      </c>
      <c r="P148">
        <v>-1.2</v>
      </c>
      <c r="Q148">
        <v>90</v>
      </c>
      <c r="R148">
        <v>1</v>
      </c>
      <c r="S148" t="s">
        <v>275</v>
      </c>
      <c r="T148">
        <v>1</v>
      </c>
      <c r="U148" t="s">
        <v>296</v>
      </c>
      <c r="V148">
        <v>0</v>
      </c>
      <c r="W148">
        <v>3330</v>
      </c>
      <c r="X148">
        <v>1.5</v>
      </c>
      <c r="Y148">
        <v>0.30000000000000004</v>
      </c>
    </row>
    <row r="149" spans="1:25" x14ac:dyDescent="0.2">
      <c r="A149" t="s">
        <v>199</v>
      </c>
      <c r="B149">
        <v>20</v>
      </c>
      <c r="C149" s="1">
        <v>44759</v>
      </c>
      <c r="D149" t="s">
        <v>16</v>
      </c>
      <c r="E149">
        <v>2022</v>
      </c>
      <c r="F149" t="s">
        <v>17</v>
      </c>
      <c r="G149" t="s">
        <v>200</v>
      </c>
      <c r="H149" t="s">
        <v>19</v>
      </c>
      <c r="I149" t="s">
        <v>20</v>
      </c>
      <c r="J149">
        <v>2</v>
      </c>
      <c r="K149">
        <v>1</v>
      </c>
      <c r="L149">
        <v>1</v>
      </c>
      <c r="M149">
        <v>1.6</v>
      </c>
      <c r="N149">
        <v>2</v>
      </c>
      <c r="O149">
        <v>-0.39999999999999991</v>
      </c>
      <c r="P149">
        <v>-1.4</v>
      </c>
      <c r="Q149">
        <v>90</v>
      </c>
      <c r="R149">
        <v>1</v>
      </c>
      <c r="S149" t="s">
        <v>275</v>
      </c>
      <c r="T149">
        <v>1</v>
      </c>
      <c r="U149" t="s">
        <v>296</v>
      </c>
      <c r="V149">
        <v>0</v>
      </c>
      <c r="W149">
        <v>3330</v>
      </c>
      <c r="X149">
        <v>0.39999999999999991</v>
      </c>
      <c r="Y149">
        <v>-1</v>
      </c>
    </row>
    <row r="150" spans="1:25" x14ac:dyDescent="0.2">
      <c r="A150" t="s">
        <v>201</v>
      </c>
      <c r="B150">
        <v>21</v>
      </c>
      <c r="C150" s="1">
        <v>44765</v>
      </c>
      <c r="D150" t="s">
        <v>16</v>
      </c>
      <c r="E150">
        <v>2022</v>
      </c>
      <c r="F150" t="s">
        <v>17</v>
      </c>
      <c r="G150" t="s">
        <v>62</v>
      </c>
      <c r="H150" t="s">
        <v>19</v>
      </c>
      <c r="I150" t="s">
        <v>20</v>
      </c>
      <c r="J150">
        <v>2</v>
      </c>
      <c r="K150">
        <v>0</v>
      </c>
      <c r="L150">
        <v>2</v>
      </c>
      <c r="M150">
        <v>1</v>
      </c>
      <c r="N150">
        <v>0.5</v>
      </c>
      <c r="O150">
        <v>0.5</v>
      </c>
      <c r="P150">
        <v>-1.5</v>
      </c>
      <c r="Q150">
        <v>78</v>
      </c>
      <c r="R150">
        <v>1</v>
      </c>
      <c r="S150" t="s">
        <v>275</v>
      </c>
      <c r="T150">
        <v>1</v>
      </c>
      <c r="U150" t="s">
        <v>296</v>
      </c>
      <c r="V150">
        <v>0</v>
      </c>
      <c r="W150">
        <v>3330</v>
      </c>
      <c r="X150">
        <v>1</v>
      </c>
      <c r="Y150">
        <v>-0.5</v>
      </c>
    </row>
    <row r="151" spans="1:25" x14ac:dyDescent="0.2">
      <c r="A151" t="s">
        <v>202</v>
      </c>
      <c r="B151">
        <v>22</v>
      </c>
      <c r="C151" s="1">
        <v>44771</v>
      </c>
      <c r="D151" t="s">
        <v>16</v>
      </c>
      <c r="E151">
        <v>2022</v>
      </c>
      <c r="F151" t="s">
        <v>17</v>
      </c>
      <c r="G151" t="s">
        <v>18</v>
      </c>
      <c r="H151" t="s">
        <v>33</v>
      </c>
      <c r="I151" t="s">
        <v>20</v>
      </c>
      <c r="J151">
        <v>2</v>
      </c>
      <c r="K151">
        <v>1</v>
      </c>
      <c r="L151">
        <v>1</v>
      </c>
      <c r="M151">
        <v>1.6</v>
      </c>
      <c r="N151">
        <v>0.9</v>
      </c>
      <c r="O151">
        <v>0.70000000000000007</v>
      </c>
      <c r="P151">
        <v>-0.29999999999999993</v>
      </c>
      <c r="Q151">
        <v>90</v>
      </c>
      <c r="R151">
        <v>1</v>
      </c>
      <c r="S151" t="s">
        <v>275</v>
      </c>
      <c r="T151">
        <v>1</v>
      </c>
      <c r="U151" t="s">
        <v>296</v>
      </c>
      <c r="V151">
        <v>0</v>
      </c>
      <c r="W151">
        <v>3330</v>
      </c>
      <c r="X151">
        <v>0.39999999999999991</v>
      </c>
      <c r="Y151">
        <v>9.9999999999999978E-2</v>
      </c>
    </row>
    <row r="152" spans="1:25" x14ac:dyDescent="0.2">
      <c r="A152" t="s">
        <v>203</v>
      </c>
      <c r="B152">
        <v>23</v>
      </c>
      <c r="C152" s="1">
        <v>44779</v>
      </c>
      <c r="D152" t="s">
        <v>16</v>
      </c>
      <c r="E152">
        <v>2022</v>
      </c>
      <c r="F152" t="s">
        <v>17</v>
      </c>
      <c r="G152" t="s">
        <v>22</v>
      </c>
      <c r="H152" t="s">
        <v>19</v>
      </c>
      <c r="I152" t="s">
        <v>20</v>
      </c>
      <c r="J152">
        <v>4</v>
      </c>
      <c r="K152">
        <v>1</v>
      </c>
      <c r="L152">
        <v>3</v>
      </c>
      <c r="M152">
        <v>1.4</v>
      </c>
      <c r="N152">
        <v>0.7</v>
      </c>
      <c r="O152">
        <v>0.7</v>
      </c>
      <c r="P152">
        <v>-2.2999999999999998</v>
      </c>
      <c r="Q152">
        <v>64</v>
      </c>
      <c r="R152">
        <v>1</v>
      </c>
      <c r="S152" t="s">
        <v>277</v>
      </c>
      <c r="T152">
        <v>1</v>
      </c>
      <c r="U152" t="s">
        <v>296</v>
      </c>
      <c r="V152">
        <v>0</v>
      </c>
      <c r="W152">
        <v>3330</v>
      </c>
      <c r="X152">
        <v>2.6</v>
      </c>
      <c r="Y152">
        <v>0.30000000000000004</v>
      </c>
    </row>
    <row r="153" spans="1:25" x14ac:dyDescent="0.2">
      <c r="A153" t="s">
        <v>204</v>
      </c>
      <c r="B153">
        <v>24</v>
      </c>
      <c r="C153" s="1">
        <v>44786</v>
      </c>
      <c r="D153" t="s">
        <v>16</v>
      </c>
      <c r="E153">
        <v>2022</v>
      </c>
      <c r="F153" t="s">
        <v>17</v>
      </c>
      <c r="G153" t="s">
        <v>205</v>
      </c>
      <c r="H153" t="s">
        <v>33</v>
      </c>
      <c r="I153" t="s">
        <v>20</v>
      </c>
      <c r="J153">
        <v>5</v>
      </c>
      <c r="K153">
        <v>0</v>
      </c>
      <c r="L153">
        <v>5</v>
      </c>
      <c r="M153">
        <v>2.6</v>
      </c>
      <c r="N153">
        <v>0.2</v>
      </c>
      <c r="O153">
        <v>2.4</v>
      </c>
      <c r="P153">
        <v>-2.6</v>
      </c>
      <c r="Q153">
        <v>74</v>
      </c>
      <c r="R153">
        <v>1</v>
      </c>
      <c r="S153" t="s">
        <v>275</v>
      </c>
      <c r="T153">
        <v>1</v>
      </c>
      <c r="U153" t="s">
        <v>296</v>
      </c>
      <c r="V153">
        <v>0</v>
      </c>
      <c r="W153">
        <v>3330</v>
      </c>
      <c r="X153">
        <v>2.4</v>
      </c>
      <c r="Y153">
        <v>-0.2</v>
      </c>
    </row>
    <row r="154" spans="1:25" x14ac:dyDescent="0.2">
      <c r="A154" t="s">
        <v>206</v>
      </c>
      <c r="B154">
        <v>25</v>
      </c>
      <c r="C154" s="1">
        <v>44789</v>
      </c>
      <c r="D154" t="s">
        <v>16</v>
      </c>
      <c r="E154">
        <v>2022</v>
      </c>
      <c r="F154" t="s">
        <v>17</v>
      </c>
      <c r="G154" t="s">
        <v>44</v>
      </c>
      <c r="H154" t="s">
        <v>33</v>
      </c>
      <c r="I154" t="s">
        <v>20</v>
      </c>
      <c r="J154">
        <v>1</v>
      </c>
      <c r="K154">
        <v>0</v>
      </c>
      <c r="L154">
        <v>1</v>
      </c>
      <c r="M154">
        <v>2</v>
      </c>
      <c r="N154">
        <v>0.6</v>
      </c>
      <c r="O154">
        <v>1.4</v>
      </c>
      <c r="P154">
        <v>0.39999999999999991</v>
      </c>
      <c r="Q154">
        <v>73</v>
      </c>
      <c r="R154">
        <v>1</v>
      </c>
      <c r="S154" t="s">
        <v>275</v>
      </c>
      <c r="T154">
        <v>1</v>
      </c>
      <c r="U154" t="s">
        <v>296</v>
      </c>
      <c r="V154">
        <v>0</v>
      </c>
      <c r="W154">
        <v>3330</v>
      </c>
      <c r="X154">
        <v>-1</v>
      </c>
      <c r="Y154">
        <v>-0.6</v>
      </c>
    </row>
    <row r="155" spans="1:25" x14ac:dyDescent="0.2">
      <c r="A155" t="s">
        <v>207</v>
      </c>
      <c r="B155">
        <v>26</v>
      </c>
      <c r="C155" s="1">
        <v>44793</v>
      </c>
      <c r="D155" t="s">
        <v>16</v>
      </c>
      <c r="E155">
        <v>2022</v>
      </c>
      <c r="F155" t="s">
        <v>17</v>
      </c>
      <c r="G155" t="s">
        <v>47</v>
      </c>
      <c r="H155" t="s">
        <v>19</v>
      </c>
      <c r="I155" t="s">
        <v>25</v>
      </c>
      <c r="J155">
        <v>1</v>
      </c>
      <c r="K155">
        <v>2</v>
      </c>
      <c r="L155">
        <v>-1</v>
      </c>
      <c r="M155">
        <v>1.3</v>
      </c>
      <c r="N155">
        <v>0.9</v>
      </c>
      <c r="O155">
        <v>0.4</v>
      </c>
      <c r="P155">
        <v>1.4</v>
      </c>
      <c r="Q155">
        <v>26</v>
      </c>
      <c r="R155">
        <v>1</v>
      </c>
      <c r="S155" t="s">
        <v>276</v>
      </c>
      <c r="T155">
        <v>0</v>
      </c>
      <c r="U155" t="s">
        <v>296</v>
      </c>
      <c r="V155">
        <v>0</v>
      </c>
      <c r="W155">
        <v>3330</v>
      </c>
      <c r="X155">
        <v>-0.30000000000000004</v>
      </c>
      <c r="Y155">
        <v>1.1000000000000001</v>
      </c>
    </row>
    <row r="156" spans="1:25" x14ac:dyDescent="0.2">
      <c r="A156" t="s">
        <v>208</v>
      </c>
      <c r="B156">
        <v>27</v>
      </c>
      <c r="C156" s="1">
        <v>44799</v>
      </c>
      <c r="D156" t="s">
        <v>16</v>
      </c>
      <c r="E156">
        <v>2022</v>
      </c>
      <c r="F156" t="s">
        <v>17</v>
      </c>
      <c r="G156" t="s">
        <v>146</v>
      </c>
      <c r="H156" t="s">
        <v>19</v>
      </c>
      <c r="I156" t="s">
        <v>25</v>
      </c>
      <c r="J156">
        <v>1</v>
      </c>
      <c r="K156">
        <v>4</v>
      </c>
      <c r="L156">
        <v>-3</v>
      </c>
      <c r="M156">
        <v>1.5</v>
      </c>
      <c r="N156">
        <v>0.6</v>
      </c>
      <c r="O156">
        <v>0.9</v>
      </c>
      <c r="P156">
        <v>3.9</v>
      </c>
      <c r="Q156">
        <v>77</v>
      </c>
      <c r="R156">
        <v>1</v>
      </c>
      <c r="S156" t="s">
        <v>275</v>
      </c>
      <c r="T156">
        <v>0</v>
      </c>
      <c r="U156" t="s">
        <v>296</v>
      </c>
      <c r="V156">
        <v>0</v>
      </c>
      <c r="W156">
        <v>3330</v>
      </c>
      <c r="X156">
        <v>-0.5</v>
      </c>
      <c r="Y156">
        <v>3.4</v>
      </c>
    </row>
    <row r="157" spans="1:25" x14ac:dyDescent="0.2">
      <c r="A157" t="s">
        <v>209</v>
      </c>
      <c r="B157">
        <v>28</v>
      </c>
      <c r="C157" s="1">
        <v>44804</v>
      </c>
      <c r="D157" t="s">
        <v>16</v>
      </c>
      <c r="E157">
        <v>2022</v>
      </c>
      <c r="F157" t="s">
        <v>17</v>
      </c>
      <c r="G157" t="s">
        <v>53</v>
      </c>
      <c r="H157" t="s">
        <v>19</v>
      </c>
      <c r="I157" t="s">
        <v>25</v>
      </c>
      <c r="J157">
        <v>1</v>
      </c>
      <c r="K157">
        <v>2</v>
      </c>
      <c r="L157">
        <v>-1</v>
      </c>
      <c r="M157">
        <v>2.7</v>
      </c>
      <c r="N157">
        <v>1.4</v>
      </c>
      <c r="O157">
        <v>1.3000000000000003</v>
      </c>
      <c r="P157">
        <v>2.3000000000000003</v>
      </c>
      <c r="Q157">
        <v>59</v>
      </c>
      <c r="R157">
        <v>1</v>
      </c>
      <c r="S157" t="s">
        <v>277</v>
      </c>
      <c r="T157">
        <v>0</v>
      </c>
      <c r="U157" t="s">
        <v>296</v>
      </c>
      <c r="V157">
        <v>0</v>
      </c>
      <c r="W157">
        <v>3330</v>
      </c>
      <c r="X157">
        <v>-1.7000000000000002</v>
      </c>
      <c r="Y157">
        <v>0.60000000000000009</v>
      </c>
    </row>
    <row r="158" spans="1:25" x14ac:dyDescent="0.2">
      <c r="A158" t="s">
        <v>210</v>
      </c>
      <c r="B158">
        <v>29</v>
      </c>
      <c r="C158" s="1">
        <v>44808</v>
      </c>
      <c r="D158" t="s">
        <v>16</v>
      </c>
      <c r="E158">
        <v>2022</v>
      </c>
      <c r="F158" t="s">
        <v>17</v>
      </c>
      <c r="G158" t="s">
        <v>22</v>
      </c>
      <c r="H158" t="s">
        <v>33</v>
      </c>
      <c r="I158" t="s">
        <v>20</v>
      </c>
      <c r="J158">
        <v>2</v>
      </c>
      <c r="K158">
        <v>0</v>
      </c>
      <c r="L158">
        <v>2</v>
      </c>
      <c r="M158">
        <v>3.1</v>
      </c>
      <c r="N158">
        <v>0.3</v>
      </c>
      <c r="O158">
        <v>2.8000000000000003</v>
      </c>
      <c r="P158">
        <v>0.80000000000000027</v>
      </c>
      <c r="Q158">
        <v>32</v>
      </c>
      <c r="R158">
        <v>1</v>
      </c>
      <c r="S158" t="s">
        <v>277</v>
      </c>
      <c r="T158">
        <v>1</v>
      </c>
      <c r="U158" t="s">
        <v>296</v>
      </c>
      <c r="V158">
        <v>0</v>
      </c>
      <c r="W158">
        <v>3330</v>
      </c>
      <c r="X158">
        <v>-1.1000000000000001</v>
      </c>
      <c r="Y158">
        <v>-0.3</v>
      </c>
    </row>
    <row r="159" spans="1:25" x14ac:dyDescent="0.2">
      <c r="A159" t="s">
        <v>211</v>
      </c>
      <c r="B159">
        <v>30</v>
      </c>
      <c r="C159" s="1">
        <v>44814</v>
      </c>
      <c r="D159" t="s">
        <v>16</v>
      </c>
      <c r="E159">
        <v>2022</v>
      </c>
      <c r="F159" t="s">
        <v>17</v>
      </c>
      <c r="G159" t="s">
        <v>35</v>
      </c>
      <c r="H159" t="s">
        <v>19</v>
      </c>
      <c r="I159" t="s">
        <v>25</v>
      </c>
      <c r="J159">
        <v>1</v>
      </c>
      <c r="K159">
        <v>2</v>
      </c>
      <c r="L159">
        <v>-1</v>
      </c>
      <c r="M159">
        <v>1.1000000000000001</v>
      </c>
      <c r="N159">
        <v>0.9</v>
      </c>
      <c r="O159">
        <v>0.20000000000000007</v>
      </c>
      <c r="P159">
        <v>1.2000000000000002</v>
      </c>
      <c r="Q159">
        <v>59</v>
      </c>
      <c r="R159">
        <v>1</v>
      </c>
      <c r="S159" t="s">
        <v>277</v>
      </c>
      <c r="T159">
        <v>0</v>
      </c>
      <c r="U159" t="s">
        <v>296</v>
      </c>
      <c r="V159">
        <v>0</v>
      </c>
      <c r="W159">
        <v>3330</v>
      </c>
      <c r="X159">
        <v>-0.10000000000000009</v>
      </c>
      <c r="Y159">
        <v>1.1000000000000001</v>
      </c>
    </row>
    <row r="160" spans="1:25" x14ac:dyDescent="0.2">
      <c r="A160" t="s">
        <v>212</v>
      </c>
      <c r="B160">
        <v>31</v>
      </c>
      <c r="C160" s="1">
        <v>44817</v>
      </c>
      <c r="D160" t="s">
        <v>16</v>
      </c>
      <c r="E160">
        <v>2022</v>
      </c>
      <c r="F160" t="s">
        <v>17</v>
      </c>
      <c r="G160" t="s">
        <v>38</v>
      </c>
      <c r="H160" t="s">
        <v>19</v>
      </c>
      <c r="I160" t="s">
        <v>36</v>
      </c>
      <c r="J160">
        <v>1</v>
      </c>
      <c r="K160">
        <v>1</v>
      </c>
      <c r="L160">
        <v>0</v>
      </c>
      <c r="M160">
        <v>1.1000000000000001</v>
      </c>
      <c r="N160">
        <v>1.6</v>
      </c>
      <c r="O160">
        <v>-0.5</v>
      </c>
      <c r="P160">
        <v>-0.5</v>
      </c>
      <c r="Q160">
        <v>90</v>
      </c>
      <c r="R160">
        <v>1</v>
      </c>
      <c r="S160" t="s">
        <v>275</v>
      </c>
      <c r="T160">
        <v>0</v>
      </c>
      <c r="U160" t="s">
        <v>296</v>
      </c>
      <c r="V160">
        <v>0</v>
      </c>
      <c r="W160">
        <v>3330</v>
      </c>
      <c r="X160">
        <v>-0.10000000000000009</v>
      </c>
      <c r="Y160">
        <v>-0.60000000000000009</v>
      </c>
    </row>
    <row r="161" spans="1:25" x14ac:dyDescent="0.2">
      <c r="A161" t="s">
        <v>213</v>
      </c>
      <c r="B161">
        <v>32</v>
      </c>
      <c r="C161" s="1">
        <v>44822</v>
      </c>
      <c r="D161" t="s">
        <v>16</v>
      </c>
      <c r="E161">
        <v>2022</v>
      </c>
      <c r="F161" t="s">
        <v>17</v>
      </c>
      <c r="G161" t="s">
        <v>53</v>
      </c>
      <c r="H161" t="s">
        <v>33</v>
      </c>
      <c r="I161" t="s">
        <v>20</v>
      </c>
      <c r="J161">
        <v>3</v>
      </c>
      <c r="K161">
        <v>1</v>
      </c>
      <c r="L161">
        <v>2</v>
      </c>
      <c r="M161">
        <v>3</v>
      </c>
      <c r="N161">
        <v>0.9</v>
      </c>
      <c r="O161">
        <v>2.1</v>
      </c>
      <c r="P161">
        <v>0.10000000000000009</v>
      </c>
      <c r="Q161">
        <v>63</v>
      </c>
      <c r="R161">
        <v>1</v>
      </c>
      <c r="S161" t="s">
        <v>277</v>
      </c>
      <c r="T161">
        <v>1</v>
      </c>
      <c r="U161" t="s">
        <v>296</v>
      </c>
      <c r="V161">
        <v>0</v>
      </c>
      <c r="W161">
        <v>3330</v>
      </c>
      <c r="X161">
        <v>0</v>
      </c>
      <c r="Y161">
        <v>9.9999999999999978E-2</v>
      </c>
    </row>
    <row r="162" spans="1:25" x14ac:dyDescent="0.2">
      <c r="A162" t="s">
        <v>214</v>
      </c>
      <c r="B162">
        <v>33</v>
      </c>
      <c r="C162" s="1">
        <v>44836</v>
      </c>
      <c r="D162" t="s">
        <v>16</v>
      </c>
      <c r="E162">
        <v>2022</v>
      </c>
      <c r="F162" t="s">
        <v>17</v>
      </c>
      <c r="G162" t="s">
        <v>42</v>
      </c>
      <c r="H162" t="s">
        <v>19</v>
      </c>
      <c r="I162" t="s">
        <v>20</v>
      </c>
      <c r="J162">
        <v>2</v>
      </c>
      <c r="K162">
        <v>1</v>
      </c>
      <c r="L162">
        <v>1</v>
      </c>
      <c r="M162">
        <v>1</v>
      </c>
      <c r="N162">
        <v>1.2</v>
      </c>
      <c r="O162">
        <v>-0.19999999999999996</v>
      </c>
      <c r="P162">
        <v>-1.2</v>
      </c>
      <c r="Q162">
        <v>77</v>
      </c>
      <c r="R162">
        <v>1</v>
      </c>
      <c r="S162" t="s">
        <v>275</v>
      </c>
      <c r="T162">
        <v>1</v>
      </c>
      <c r="U162" t="s">
        <v>296</v>
      </c>
      <c r="V162">
        <v>0</v>
      </c>
      <c r="W162">
        <v>3330</v>
      </c>
      <c r="X162">
        <v>1</v>
      </c>
      <c r="Y162">
        <v>-0.19999999999999996</v>
      </c>
    </row>
    <row r="163" spans="1:25" x14ac:dyDescent="0.2">
      <c r="A163" t="s">
        <v>215</v>
      </c>
      <c r="B163">
        <v>34</v>
      </c>
      <c r="C163" s="1">
        <v>44843</v>
      </c>
      <c r="D163" t="s">
        <v>16</v>
      </c>
      <c r="E163">
        <v>2022</v>
      </c>
      <c r="F163" t="s">
        <v>17</v>
      </c>
      <c r="G163" t="s">
        <v>200</v>
      </c>
      <c r="H163" t="s">
        <v>33</v>
      </c>
      <c r="I163" t="s">
        <v>25</v>
      </c>
      <c r="J163">
        <v>0</v>
      </c>
      <c r="K163">
        <v>1</v>
      </c>
      <c r="L163">
        <v>-1</v>
      </c>
      <c r="M163">
        <v>4.5</v>
      </c>
      <c r="N163">
        <v>1.2</v>
      </c>
      <c r="O163">
        <v>3.3</v>
      </c>
      <c r="P163">
        <v>4.3</v>
      </c>
      <c r="Q163">
        <v>40</v>
      </c>
      <c r="R163">
        <v>1</v>
      </c>
      <c r="S163" t="s">
        <v>277</v>
      </c>
      <c r="T163">
        <v>0</v>
      </c>
      <c r="U163" t="s">
        <v>296</v>
      </c>
      <c r="V163">
        <v>0</v>
      </c>
      <c r="W163">
        <v>3330</v>
      </c>
      <c r="X163">
        <v>-4.5</v>
      </c>
      <c r="Y163">
        <v>-0.19999999999999996</v>
      </c>
    </row>
    <row r="164" spans="1:25" x14ac:dyDescent="0.2">
      <c r="A164" t="s">
        <v>216</v>
      </c>
      <c r="B164">
        <v>35</v>
      </c>
      <c r="C164" s="1">
        <v>44854</v>
      </c>
      <c r="D164" t="s">
        <v>16</v>
      </c>
      <c r="E164">
        <v>2022</v>
      </c>
      <c r="F164" t="s">
        <v>116</v>
      </c>
      <c r="G164" t="s">
        <v>24</v>
      </c>
      <c r="H164" t="s">
        <v>33</v>
      </c>
      <c r="I164" t="s">
        <v>20</v>
      </c>
      <c r="J164">
        <v>3</v>
      </c>
      <c r="K164">
        <v>2</v>
      </c>
      <c r="L164">
        <v>1</v>
      </c>
      <c r="M164">
        <v>2.5</v>
      </c>
      <c r="N164">
        <v>0.4</v>
      </c>
      <c r="O164">
        <v>2.1</v>
      </c>
      <c r="P164">
        <v>1.1000000000000001</v>
      </c>
      <c r="Q164">
        <v>78</v>
      </c>
      <c r="R164">
        <v>1</v>
      </c>
      <c r="S164" t="s">
        <v>275</v>
      </c>
      <c r="T164">
        <v>1</v>
      </c>
      <c r="U164" t="s">
        <v>296</v>
      </c>
      <c r="V164">
        <v>0</v>
      </c>
      <c r="W164">
        <v>3330</v>
      </c>
      <c r="X164">
        <v>0.5</v>
      </c>
      <c r="Y164">
        <v>1.6</v>
      </c>
    </row>
    <row r="165" spans="1:25" x14ac:dyDescent="0.2">
      <c r="A165" t="s">
        <v>217</v>
      </c>
      <c r="B165">
        <v>36</v>
      </c>
      <c r="C165" s="1">
        <v>44864</v>
      </c>
      <c r="D165" t="s">
        <v>16</v>
      </c>
      <c r="E165">
        <v>2022</v>
      </c>
      <c r="F165" t="s">
        <v>118</v>
      </c>
      <c r="G165" t="s">
        <v>146</v>
      </c>
      <c r="H165" t="s">
        <v>33</v>
      </c>
      <c r="I165" t="s">
        <v>20</v>
      </c>
      <c r="J165">
        <v>3</v>
      </c>
      <c r="K165">
        <v>0</v>
      </c>
      <c r="L165">
        <v>3</v>
      </c>
      <c r="M165">
        <v>2.1</v>
      </c>
      <c r="N165">
        <v>0.3</v>
      </c>
      <c r="O165">
        <v>1.8</v>
      </c>
      <c r="P165">
        <v>-1.2</v>
      </c>
      <c r="Q165">
        <v>77</v>
      </c>
      <c r="R165">
        <v>1</v>
      </c>
      <c r="S165" t="s">
        <v>275</v>
      </c>
      <c r="T165">
        <v>1</v>
      </c>
      <c r="U165" t="s">
        <v>296</v>
      </c>
      <c r="V165">
        <v>0</v>
      </c>
      <c r="W165">
        <v>3330</v>
      </c>
      <c r="X165">
        <v>0.89999999999999991</v>
      </c>
      <c r="Y165">
        <v>-0.3</v>
      </c>
    </row>
    <row r="166" spans="1:25" x14ac:dyDescent="0.2">
      <c r="A166" t="s">
        <v>218</v>
      </c>
      <c r="B166">
        <v>37</v>
      </c>
      <c r="C166" s="1">
        <v>44870</v>
      </c>
      <c r="D166" t="s">
        <v>16</v>
      </c>
      <c r="E166">
        <v>2022</v>
      </c>
      <c r="F166" t="s">
        <v>219</v>
      </c>
      <c r="G166" t="s">
        <v>51</v>
      </c>
      <c r="H166" t="s">
        <v>33</v>
      </c>
      <c r="I166" t="s">
        <v>36</v>
      </c>
      <c r="J166">
        <v>3</v>
      </c>
      <c r="K166">
        <v>3</v>
      </c>
      <c r="L166">
        <v>0</v>
      </c>
      <c r="M166">
        <v>1</v>
      </c>
      <c r="N166">
        <v>1.6</v>
      </c>
      <c r="O166">
        <v>-0.60000000000000009</v>
      </c>
      <c r="P166">
        <v>-0.60000000000000009</v>
      </c>
      <c r="Q166">
        <v>97</v>
      </c>
      <c r="R166">
        <v>1</v>
      </c>
      <c r="S166" t="s">
        <v>275</v>
      </c>
      <c r="T166">
        <v>0</v>
      </c>
      <c r="U166" t="s">
        <v>296</v>
      </c>
      <c r="V166">
        <v>0</v>
      </c>
      <c r="W166">
        <v>3330</v>
      </c>
      <c r="X166">
        <v>2</v>
      </c>
      <c r="Y166">
        <v>1.4</v>
      </c>
    </row>
    <row r="167" spans="1:25" x14ac:dyDescent="0.2">
      <c r="A167" t="s">
        <v>220</v>
      </c>
      <c r="B167">
        <v>1</v>
      </c>
      <c r="C167" s="1">
        <v>44989</v>
      </c>
      <c r="D167" t="s">
        <v>16</v>
      </c>
      <c r="E167">
        <v>2023</v>
      </c>
      <c r="F167" t="s">
        <v>17</v>
      </c>
      <c r="G167" t="s">
        <v>42</v>
      </c>
      <c r="H167" t="s">
        <v>33</v>
      </c>
      <c r="I167" t="s">
        <v>20</v>
      </c>
      <c r="J167">
        <v>3</v>
      </c>
      <c r="K167">
        <v>2</v>
      </c>
      <c r="L167">
        <v>1</v>
      </c>
      <c r="M167">
        <v>1.7</v>
      </c>
      <c r="N167">
        <v>1.1000000000000001</v>
      </c>
      <c r="O167">
        <v>0.59999999999999987</v>
      </c>
      <c r="P167">
        <v>-0.40000000000000013</v>
      </c>
      <c r="Q167">
        <v>66</v>
      </c>
      <c r="R167">
        <v>1</v>
      </c>
      <c r="S167" t="s">
        <v>277</v>
      </c>
      <c r="T167">
        <v>1</v>
      </c>
      <c r="U167" t="s">
        <v>297</v>
      </c>
      <c r="V167">
        <v>0</v>
      </c>
      <c r="W167">
        <v>3510</v>
      </c>
      <c r="X167">
        <v>1.3</v>
      </c>
      <c r="Y167">
        <v>0.89999999999999991</v>
      </c>
    </row>
    <row r="168" spans="1:25" x14ac:dyDescent="0.2">
      <c r="A168" t="s">
        <v>221</v>
      </c>
      <c r="B168">
        <v>2</v>
      </c>
      <c r="C168" s="1">
        <v>44997</v>
      </c>
      <c r="D168" t="s">
        <v>16</v>
      </c>
      <c r="E168">
        <v>2023</v>
      </c>
      <c r="F168" t="s">
        <v>17</v>
      </c>
      <c r="G168" t="s">
        <v>70</v>
      </c>
      <c r="H168" t="s">
        <v>33</v>
      </c>
      <c r="I168" t="s">
        <v>20</v>
      </c>
      <c r="J168">
        <v>4</v>
      </c>
      <c r="K168">
        <v>0</v>
      </c>
      <c r="L168">
        <v>4</v>
      </c>
      <c r="M168">
        <v>2.9</v>
      </c>
      <c r="N168">
        <v>0.4</v>
      </c>
      <c r="O168">
        <v>2.5</v>
      </c>
      <c r="P168">
        <v>-1.5</v>
      </c>
      <c r="Q168">
        <v>25</v>
      </c>
      <c r="R168">
        <v>1</v>
      </c>
      <c r="S168" t="s">
        <v>276</v>
      </c>
      <c r="T168">
        <v>1</v>
      </c>
      <c r="U168" t="s">
        <v>297</v>
      </c>
      <c r="V168">
        <v>0</v>
      </c>
      <c r="W168">
        <v>3510</v>
      </c>
      <c r="X168">
        <v>1.1000000000000001</v>
      </c>
      <c r="Y168">
        <v>-0.4</v>
      </c>
    </row>
    <row r="169" spans="1:25" x14ac:dyDescent="0.2">
      <c r="A169" t="s">
        <v>222</v>
      </c>
      <c r="B169">
        <v>3</v>
      </c>
      <c r="C169" s="1">
        <v>45003</v>
      </c>
      <c r="D169" t="s">
        <v>16</v>
      </c>
      <c r="E169">
        <v>2023</v>
      </c>
      <c r="F169" t="s">
        <v>17</v>
      </c>
      <c r="G169" t="s">
        <v>18</v>
      </c>
      <c r="H169" t="s">
        <v>19</v>
      </c>
      <c r="I169" t="s">
        <v>36</v>
      </c>
      <c r="J169">
        <v>0</v>
      </c>
      <c r="K169">
        <v>0</v>
      </c>
      <c r="L169">
        <v>0</v>
      </c>
      <c r="M169">
        <v>1.2</v>
      </c>
      <c r="N169">
        <v>1.3</v>
      </c>
      <c r="O169">
        <v>-0.10000000000000009</v>
      </c>
      <c r="P169">
        <v>-0.10000000000000009</v>
      </c>
      <c r="Q169">
        <v>66</v>
      </c>
      <c r="R169">
        <v>1</v>
      </c>
      <c r="S169" t="s">
        <v>277</v>
      </c>
      <c r="T169">
        <v>0</v>
      </c>
      <c r="U169" t="s">
        <v>297</v>
      </c>
      <c r="V169">
        <v>0</v>
      </c>
      <c r="W169">
        <v>3510</v>
      </c>
      <c r="X169">
        <v>-1.2</v>
      </c>
      <c r="Y169">
        <v>-1.3</v>
      </c>
    </row>
    <row r="170" spans="1:25" x14ac:dyDescent="0.2">
      <c r="A170" t="s">
        <v>223</v>
      </c>
      <c r="B170">
        <v>4</v>
      </c>
      <c r="C170" s="1">
        <v>45010</v>
      </c>
      <c r="D170" t="s">
        <v>16</v>
      </c>
      <c r="E170">
        <v>2023</v>
      </c>
      <c r="F170" t="s">
        <v>17</v>
      </c>
      <c r="G170" t="s">
        <v>35</v>
      </c>
      <c r="H170" t="s">
        <v>33</v>
      </c>
      <c r="I170" t="s">
        <v>20</v>
      </c>
      <c r="J170">
        <v>2</v>
      </c>
      <c r="K170">
        <v>1</v>
      </c>
      <c r="L170">
        <v>1</v>
      </c>
      <c r="M170">
        <v>2.2999999999999998</v>
      </c>
      <c r="N170">
        <v>0.5</v>
      </c>
      <c r="O170">
        <v>1.7999999999999998</v>
      </c>
      <c r="P170">
        <v>0.79999999999999982</v>
      </c>
      <c r="Q170">
        <v>90</v>
      </c>
      <c r="R170">
        <v>1</v>
      </c>
      <c r="S170" t="s">
        <v>275</v>
      </c>
      <c r="T170">
        <v>1</v>
      </c>
      <c r="U170" t="s">
        <v>297</v>
      </c>
      <c r="V170">
        <v>0</v>
      </c>
      <c r="W170">
        <v>3510</v>
      </c>
      <c r="X170">
        <v>-0.29999999999999982</v>
      </c>
      <c r="Y170">
        <v>0.5</v>
      </c>
    </row>
    <row r="171" spans="1:25" x14ac:dyDescent="0.2">
      <c r="A171" t="s">
        <v>224</v>
      </c>
      <c r="B171">
        <v>5</v>
      </c>
      <c r="C171" s="1">
        <v>45017</v>
      </c>
      <c r="D171" t="s">
        <v>16</v>
      </c>
      <c r="E171">
        <v>2023</v>
      </c>
      <c r="F171" t="s">
        <v>17</v>
      </c>
      <c r="G171" t="s">
        <v>65</v>
      </c>
      <c r="H171" t="s">
        <v>19</v>
      </c>
      <c r="I171" t="s">
        <v>36</v>
      </c>
      <c r="J171">
        <v>0</v>
      </c>
      <c r="K171">
        <v>0</v>
      </c>
      <c r="L171">
        <v>0</v>
      </c>
      <c r="M171">
        <v>0.6</v>
      </c>
      <c r="N171">
        <v>1</v>
      </c>
      <c r="O171">
        <v>-0.4</v>
      </c>
      <c r="P171">
        <v>-0.4</v>
      </c>
      <c r="Q171">
        <v>74</v>
      </c>
      <c r="R171">
        <v>1</v>
      </c>
      <c r="S171" t="s">
        <v>275</v>
      </c>
      <c r="T171">
        <v>0</v>
      </c>
      <c r="U171" t="s">
        <v>297</v>
      </c>
      <c r="V171">
        <v>0</v>
      </c>
      <c r="W171">
        <v>3510</v>
      </c>
      <c r="X171">
        <v>-0.6</v>
      </c>
      <c r="Y171">
        <v>-1</v>
      </c>
    </row>
    <row r="172" spans="1:25" x14ac:dyDescent="0.2">
      <c r="A172" t="s">
        <v>225</v>
      </c>
      <c r="B172">
        <v>6</v>
      </c>
      <c r="C172" s="1">
        <v>45024</v>
      </c>
      <c r="D172" t="s">
        <v>16</v>
      </c>
      <c r="E172">
        <v>2023</v>
      </c>
      <c r="F172" t="s">
        <v>17</v>
      </c>
      <c r="G172" t="s">
        <v>146</v>
      </c>
      <c r="H172" t="s">
        <v>33</v>
      </c>
      <c r="I172" t="s">
        <v>20</v>
      </c>
      <c r="J172">
        <v>3</v>
      </c>
      <c r="K172">
        <v>0</v>
      </c>
      <c r="L172">
        <v>3</v>
      </c>
      <c r="M172">
        <v>1.4</v>
      </c>
      <c r="N172">
        <v>0.4</v>
      </c>
      <c r="O172">
        <v>0.99999999999999989</v>
      </c>
      <c r="P172">
        <v>-2</v>
      </c>
      <c r="Q172">
        <v>29</v>
      </c>
      <c r="R172">
        <v>1</v>
      </c>
      <c r="S172" t="s">
        <v>276</v>
      </c>
      <c r="T172">
        <v>1</v>
      </c>
      <c r="U172" t="s">
        <v>297</v>
      </c>
      <c r="V172">
        <v>0</v>
      </c>
      <c r="W172">
        <v>3510</v>
      </c>
      <c r="X172">
        <v>1.6</v>
      </c>
      <c r="Y172">
        <v>-0.4</v>
      </c>
    </row>
    <row r="173" spans="1:25" x14ac:dyDescent="0.2">
      <c r="A173" t="s">
        <v>226</v>
      </c>
      <c r="B173">
        <v>7</v>
      </c>
      <c r="C173" s="1">
        <v>45032</v>
      </c>
      <c r="D173" t="s">
        <v>16</v>
      </c>
      <c r="E173">
        <v>2023</v>
      </c>
      <c r="F173" t="s">
        <v>17</v>
      </c>
      <c r="G173" t="s">
        <v>24</v>
      </c>
      <c r="H173" t="s">
        <v>19</v>
      </c>
      <c r="I173" t="s">
        <v>20</v>
      </c>
      <c r="J173">
        <v>3</v>
      </c>
      <c r="K173">
        <v>2</v>
      </c>
      <c r="L173">
        <v>1</v>
      </c>
      <c r="M173">
        <v>2.2000000000000002</v>
      </c>
      <c r="N173">
        <v>1.8</v>
      </c>
      <c r="O173">
        <v>0.40000000000000013</v>
      </c>
      <c r="P173">
        <v>-0.59999999999999987</v>
      </c>
      <c r="Q173">
        <v>71</v>
      </c>
      <c r="R173">
        <v>1</v>
      </c>
      <c r="S173" t="s">
        <v>275</v>
      </c>
      <c r="T173">
        <v>1</v>
      </c>
      <c r="U173" t="s">
        <v>297</v>
      </c>
      <c r="V173">
        <v>0</v>
      </c>
      <c r="W173">
        <v>3510</v>
      </c>
      <c r="X173">
        <v>0.79999999999999982</v>
      </c>
      <c r="Y173">
        <v>0.19999999999999996</v>
      </c>
    </row>
    <row r="174" spans="1:25" x14ac:dyDescent="0.2">
      <c r="A174" t="s">
        <v>227</v>
      </c>
      <c r="B174">
        <v>8</v>
      </c>
      <c r="C174" s="1">
        <v>45038</v>
      </c>
      <c r="D174" t="s">
        <v>16</v>
      </c>
      <c r="E174">
        <v>2023</v>
      </c>
      <c r="F174" t="s">
        <v>17</v>
      </c>
      <c r="G174" t="s">
        <v>200</v>
      </c>
      <c r="H174" t="s">
        <v>19</v>
      </c>
      <c r="I174" t="s">
        <v>36</v>
      </c>
      <c r="J174">
        <v>1</v>
      </c>
      <c r="K174">
        <v>1</v>
      </c>
      <c r="L174">
        <v>0</v>
      </c>
      <c r="M174">
        <v>1.7</v>
      </c>
      <c r="N174">
        <v>1.1000000000000001</v>
      </c>
      <c r="O174">
        <v>0.59999999999999987</v>
      </c>
      <c r="P174">
        <v>0.59999999999999987</v>
      </c>
      <c r="Q174">
        <v>20</v>
      </c>
      <c r="R174">
        <v>1</v>
      </c>
      <c r="S174" t="s">
        <v>276</v>
      </c>
      <c r="T174">
        <v>0</v>
      </c>
      <c r="U174" t="s">
        <v>297</v>
      </c>
      <c r="V174">
        <v>0</v>
      </c>
      <c r="W174">
        <v>3510</v>
      </c>
      <c r="X174">
        <v>-0.7</v>
      </c>
      <c r="Y174">
        <v>-0.10000000000000009</v>
      </c>
    </row>
    <row r="175" spans="1:25" x14ac:dyDescent="0.2">
      <c r="A175" t="s">
        <v>228</v>
      </c>
      <c r="B175">
        <v>9</v>
      </c>
      <c r="C175" s="1">
        <v>45052</v>
      </c>
      <c r="D175" t="s">
        <v>16</v>
      </c>
      <c r="E175">
        <v>2023</v>
      </c>
      <c r="F175" t="s">
        <v>17</v>
      </c>
      <c r="G175" t="s">
        <v>47</v>
      </c>
      <c r="H175" t="s">
        <v>19</v>
      </c>
      <c r="I175" t="s">
        <v>25</v>
      </c>
      <c r="J175">
        <v>1</v>
      </c>
      <c r="K175">
        <v>2</v>
      </c>
      <c r="L175">
        <v>-1</v>
      </c>
      <c r="M175">
        <v>1.2</v>
      </c>
      <c r="N175">
        <v>2.2999999999999998</v>
      </c>
      <c r="O175">
        <v>-1.0999999999999999</v>
      </c>
      <c r="P175">
        <v>-9.9999999999999867E-2</v>
      </c>
      <c r="Q175">
        <v>75</v>
      </c>
      <c r="R175">
        <v>1</v>
      </c>
      <c r="S175" t="s">
        <v>275</v>
      </c>
      <c r="T175">
        <v>0</v>
      </c>
      <c r="U175" t="s">
        <v>297</v>
      </c>
      <c r="V175">
        <v>0</v>
      </c>
      <c r="W175">
        <v>3510</v>
      </c>
      <c r="X175">
        <v>-0.19999999999999996</v>
      </c>
      <c r="Y175">
        <v>-0.29999999999999982</v>
      </c>
    </row>
    <row r="176" spans="1:25" x14ac:dyDescent="0.2">
      <c r="A176" t="s">
        <v>229</v>
      </c>
      <c r="B176">
        <v>10</v>
      </c>
      <c r="C176" s="1">
        <v>45059</v>
      </c>
      <c r="D176" t="s">
        <v>16</v>
      </c>
      <c r="E176">
        <v>2023</v>
      </c>
      <c r="F176" t="s">
        <v>17</v>
      </c>
      <c r="G176" t="s">
        <v>22</v>
      </c>
      <c r="H176" t="s">
        <v>19</v>
      </c>
      <c r="I176" t="s">
        <v>20</v>
      </c>
      <c r="J176">
        <v>3</v>
      </c>
      <c r="K176">
        <v>0</v>
      </c>
      <c r="L176">
        <v>3</v>
      </c>
      <c r="M176">
        <v>2.4</v>
      </c>
      <c r="N176">
        <v>1.4</v>
      </c>
      <c r="O176">
        <v>1</v>
      </c>
      <c r="P176">
        <v>-2</v>
      </c>
      <c r="Q176">
        <v>80</v>
      </c>
      <c r="R176">
        <v>1</v>
      </c>
      <c r="S176" t="s">
        <v>275</v>
      </c>
      <c r="T176">
        <v>1</v>
      </c>
      <c r="U176" t="s">
        <v>297</v>
      </c>
      <c r="V176">
        <v>0</v>
      </c>
      <c r="W176">
        <v>3510</v>
      </c>
      <c r="X176">
        <v>0.60000000000000009</v>
      </c>
      <c r="Y176">
        <v>-1.4</v>
      </c>
    </row>
    <row r="177" spans="1:25" x14ac:dyDescent="0.2">
      <c r="A177" t="s">
        <v>230</v>
      </c>
      <c r="B177">
        <v>11</v>
      </c>
      <c r="C177" s="1">
        <v>45063</v>
      </c>
      <c r="D177" t="s">
        <v>16</v>
      </c>
      <c r="E177">
        <v>2023</v>
      </c>
      <c r="F177" t="s">
        <v>17</v>
      </c>
      <c r="G177" t="s">
        <v>62</v>
      </c>
      <c r="H177" t="s">
        <v>33</v>
      </c>
      <c r="I177" t="s">
        <v>36</v>
      </c>
      <c r="J177">
        <v>1</v>
      </c>
      <c r="K177">
        <v>1</v>
      </c>
      <c r="L177">
        <v>0</v>
      </c>
      <c r="M177">
        <v>1.2</v>
      </c>
      <c r="N177">
        <v>0.4</v>
      </c>
      <c r="O177">
        <v>0.79999999999999993</v>
      </c>
      <c r="P177">
        <v>0.79999999999999993</v>
      </c>
      <c r="Q177">
        <v>67</v>
      </c>
      <c r="R177">
        <v>1</v>
      </c>
      <c r="S177" t="s">
        <v>277</v>
      </c>
      <c r="T177">
        <v>0</v>
      </c>
      <c r="U177" t="s">
        <v>297</v>
      </c>
      <c r="V177">
        <v>0</v>
      </c>
      <c r="W177">
        <v>3510</v>
      </c>
      <c r="X177">
        <v>-0.19999999999999996</v>
      </c>
      <c r="Y177">
        <v>0.6</v>
      </c>
    </row>
    <row r="178" spans="1:25" x14ac:dyDescent="0.2">
      <c r="A178" t="s">
        <v>231</v>
      </c>
      <c r="B178">
        <v>12</v>
      </c>
      <c r="C178" s="1">
        <v>45066</v>
      </c>
      <c r="D178" t="s">
        <v>16</v>
      </c>
      <c r="E178">
        <v>2023</v>
      </c>
      <c r="F178" t="s">
        <v>17</v>
      </c>
      <c r="G178" t="s">
        <v>47</v>
      </c>
      <c r="H178" t="s">
        <v>33</v>
      </c>
      <c r="I178" t="s">
        <v>20</v>
      </c>
      <c r="J178">
        <v>2</v>
      </c>
      <c r="K178">
        <v>1</v>
      </c>
      <c r="L178">
        <v>1</v>
      </c>
      <c r="M178">
        <v>1.7</v>
      </c>
      <c r="N178">
        <v>0.7</v>
      </c>
      <c r="O178">
        <v>1</v>
      </c>
      <c r="P178">
        <v>0</v>
      </c>
      <c r="Q178">
        <v>27</v>
      </c>
      <c r="R178">
        <v>1</v>
      </c>
      <c r="S178" t="s">
        <v>276</v>
      </c>
      <c r="T178">
        <v>1</v>
      </c>
      <c r="U178" t="s">
        <v>297</v>
      </c>
      <c r="V178">
        <v>0</v>
      </c>
      <c r="W178">
        <v>3510</v>
      </c>
      <c r="X178">
        <v>0.30000000000000004</v>
      </c>
      <c r="Y178">
        <v>0.30000000000000004</v>
      </c>
    </row>
    <row r="179" spans="1:25" x14ac:dyDescent="0.2">
      <c r="A179" t="s">
        <v>232</v>
      </c>
      <c r="B179">
        <v>13</v>
      </c>
      <c r="C179" s="1">
        <v>45084</v>
      </c>
      <c r="D179" t="s">
        <v>16</v>
      </c>
      <c r="E179">
        <v>2023</v>
      </c>
      <c r="F179" t="s">
        <v>17</v>
      </c>
      <c r="G179" t="s">
        <v>27</v>
      </c>
      <c r="H179" t="s">
        <v>33</v>
      </c>
      <c r="I179" t="s">
        <v>36</v>
      </c>
      <c r="J179">
        <v>0</v>
      </c>
      <c r="K179">
        <v>0</v>
      </c>
      <c r="L179">
        <v>0</v>
      </c>
      <c r="M179">
        <v>2.2999999999999998</v>
      </c>
      <c r="N179">
        <v>0.8</v>
      </c>
      <c r="O179">
        <v>1.4999999999999998</v>
      </c>
      <c r="P179">
        <v>1.4999999999999998</v>
      </c>
      <c r="Q179">
        <v>31</v>
      </c>
      <c r="R179">
        <v>1</v>
      </c>
      <c r="S179" t="s">
        <v>277</v>
      </c>
      <c r="T179">
        <v>0</v>
      </c>
      <c r="U179" t="s">
        <v>297</v>
      </c>
      <c r="V179">
        <v>0</v>
      </c>
      <c r="W179">
        <v>3510</v>
      </c>
      <c r="X179">
        <v>-2.2999999999999998</v>
      </c>
      <c r="Y179">
        <v>-0.8</v>
      </c>
    </row>
    <row r="180" spans="1:25" x14ac:dyDescent="0.2">
      <c r="A180" t="s">
        <v>233</v>
      </c>
      <c r="B180">
        <v>14</v>
      </c>
      <c r="C180" s="1">
        <v>45087</v>
      </c>
      <c r="D180" t="s">
        <v>16</v>
      </c>
      <c r="E180">
        <v>2023</v>
      </c>
      <c r="F180" t="s">
        <v>17</v>
      </c>
      <c r="G180" t="s">
        <v>53</v>
      </c>
      <c r="H180" t="s">
        <v>19</v>
      </c>
      <c r="I180" t="s">
        <v>25</v>
      </c>
      <c r="J180">
        <v>0</v>
      </c>
      <c r="K180">
        <v>4</v>
      </c>
      <c r="L180">
        <v>-4</v>
      </c>
      <c r="M180">
        <v>0.7</v>
      </c>
      <c r="N180">
        <v>2.1</v>
      </c>
      <c r="O180">
        <v>-1.4000000000000001</v>
      </c>
      <c r="P180">
        <v>2.5999999999999996</v>
      </c>
      <c r="Q180">
        <v>71</v>
      </c>
      <c r="R180">
        <v>1</v>
      </c>
      <c r="S180" t="s">
        <v>275</v>
      </c>
      <c r="T180">
        <v>0</v>
      </c>
      <c r="U180" t="s">
        <v>297</v>
      </c>
      <c r="V180">
        <v>0</v>
      </c>
      <c r="W180">
        <v>3510</v>
      </c>
      <c r="X180">
        <v>-0.7</v>
      </c>
      <c r="Y180">
        <v>1.9</v>
      </c>
    </row>
    <row r="181" spans="1:25" x14ac:dyDescent="0.2">
      <c r="A181" t="s">
        <v>234</v>
      </c>
      <c r="B181">
        <v>15</v>
      </c>
      <c r="C181" s="1">
        <v>45091</v>
      </c>
      <c r="D181" t="s">
        <v>16</v>
      </c>
      <c r="E181">
        <v>2023</v>
      </c>
      <c r="F181" t="s">
        <v>17</v>
      </c>
      <c r="G181" t="s">
        <v>53</v>
      </c>
      <c r="H181" t="s">
        <v>33</v>
      </c>
      <c r="I181" t="s">
        <v>25</v>
      </c>
      <c r="J181">
        <v>0</v>
      </c>
      <c r="K181">
        <v>1</v>
      </c>
      <c r="L181">
        <v>-1</v>
      </c>
      <c r="M181">
        <v>0.7</v>
      </c>
      <c r="N181">
        <v>0.6</v>
      </c>
      <c r="O181">
        <v>9.9999999999999978E-2</v>
      </c>
      <c r="P181">
        <v>1.1000000000000001</v>
      </c>
      <c r="Q181">
        <v>90</v>
      </c>
      <c r="R181">
        <v>1</v>
      </c>
      <c r="S181" t="s">
        <v>275</v>
      </c>
      <c r="T181">
        <v>0</v>
      </c>
      <c r="U181" t="s">
        <v>297</v>
      </c>
      <c r="V181">
        <v>0</v>
      </c>
      <c r="W181">
        <v>3510</v>
      </c>
      <c r="X181">
        <v>-0.7</v>
      </c>
      <c r="Y181">
        <v>0.4</v>
      </c>
    </row>
    <row r="182" spans="1:25" x14ac:dyDescent="0.2">
      <c r="A182" t="s">
        <v>235</v>
      </c>
      <c r="B182">
        <v>16</v>
      </c>
      <c r="C182" s="1">
        <v>45094</v>
      </c>
      <c r="D182" t="s">
        <v>16</v>
      </c>
      <c r="E182">
        <v>2023</v>
      </c>
      <c r="F182" t="s">
        <v>17</v>
      </c>
      <c r="G182" t="s">
        <v>62</v>
      </c>
      <c r="H182" t="s">
        <v>19</v>
      </c>
      <c r="I182" t="s">
        <v>20</v>
      </c>
      <c r="J182">
        <v>2</v>
      </c>
      <c r="K182">
        <v>1</v>
      </c>
      <c r="L182">
        <v>1</v>
      </c>
      <c r="M182">
        <v>1.1000000000000001</v>
      </c>
      <c r="N182">
        <v>2</v>
      </c>
      <c r="O182">
        <v>-0.89999999999999991</v>
      </c>
      <c r="P182">
        <v>-1.9</v>
      </c>
      <c r="Q182">
        <v>45</v>
      </c>
      <c r="R182">
        <v>1</v>
      </c>
      <c r="S182" t="s">
        <v>277</v>
      </c>
      <c r="T182">
        <v>1</v>
      </c>
      <c r="U182" t="s">
        <v>297</v>
      </c>
      <c r="V182">
        <v>0</v>
      </c>
      <c r="W182">
        <v>3510</v>
      </c>
      <c r="X182">
        <v>0.89999999999999991</v>
      </c>
      <c r="Y182">
        <v>-1</v>
      </c>
    </row>
    <row r="183" spans="1:25" x14ac:dyDescent="0.2">
      <c r="A183" t="s">
        <v>236</v>
      </c>
      <c r="B183">
        <v>17</v>
      </c>
      <c r="C183" s="1">
        <v>45098</v>
      </c>
      <c r="D183" t="s">
        <v>16</v>
      </c>
      <c r="E183">
        <v>2023</v>
      </c>
      <c r="F183" t="s">
        <v>17</v>
      </c>
      <c r="G183" t="s">
        <v>18</v>
      </c>
      <c r="H183" t="s">
        <v>33</v>
      </c>
      <c r="I183" t="s">
        <v>20</v>
      </c>
      <c r="J183">
        <v>1</v>
      </c>
      <c r="K183">
        <v>0</v>
      </c>
      <c r="L183">
        <v>1</v>
      </c>
      <c r="M183">
        <v>1.1000000000000001</v>
      </c>
      <c r="N183">
        <v>0.5</v>
      </c>
      <c r="O183">
        <v>0.60000000000000009</v>
      </c>
      <c r="P183">
        <v>-0.39999999999999991</v>
      </c>
      <c r="Q183">
        <v>71</v>
      </c>
      <c r="R183">
        <v>1</v>
      </c>
      <c r="S183" t="s">
        <v>275</v>
      </c>
      <c r="T183">
        <v>1</v>
      </c>
      <c r="U183" t="s">
        <v>297</v>
      </c>
      <c r="V183">
        <v>0</v>
      </c>
      <c r="W183">
        <v>3510</v>
      </c>
      <c r="X183">
        <v>-0.10000000000000009</v>
      </c>
      <c r="Y183">
        <v>-0.5</v>
      </c>
    </row>
    <row r="184" spans="1:25" x14ac:dyDescent="0.2">
      <c r="A184" t="s">
        <v>237</v>
      </c>
      <c r="B184">
        <v>18</v>
      </c>
      <c r="C184" s="1">
        <v>45101</v>
      </c>
      <c r="D184" t="s">
        <v>16</v>
      </c>
      <c r="E184">
        <v>2023</v>
      </c>
      <c r="F184" t="s">
        <v>17</v>
      </c>
      <c r="G184" t="s">
        <v>29</v>
      </c>
      <c r="H184" t="s">
        <v>33</v>
      </c>
      <c r="I184" t="s">
        <v>25</v>
      </c>
      <c r="J184">
        <v>2</v>
      </c>
      <c r="K184">
        <v>3</v>
      </c>
      <c r="L184">
        <v>-1</v>
      </c>
      <c r="M184">
        <v>2.2000000000000002</v>
      </c>
      <c r="N184">
        <v>1.5</v>
      </c>
      <c r="O184">
        <v>0.70000000000000018</v>
      </c>
      <c r="P184">
        <v>1.7000000000000002</v>
      </c>
      <c r="Q184">
        <v>90</v>
      </c>
      <c r="R184">
        <v>1</v>
      </c>
      <c r="S184" t="s">
        <v>275</v>
      </c>
      <c r="T184">
        <v>0</v>
      </c>
      <c r="U184" t="s">
        <v>297</v>
      </c>
      <c r="V184">
        <v>0</v>
      </c>
      <c r="W184">
        <v>3510</v>
      </c>
      <c r="X184">
        <v>-0.20000000000000018</v>
      </c>
      <c r="Y184">
        <v>1.5</v>
      </c>
    </row>
    <row r="185" spans="1:25" x14ac:dyDescent="0.2">
      <c r="A185" t="s">
        <v>238</v>
      </c>
      <c r="B185">
        <v>19</v>
      </c>
      <c r="C185" s="1">
        <v>45108</v>
      </c>
      <c r="D185" t="s">
        <v>16</v>
      </c>
      <c r="E185">
        <v>2023</v>
      </c>
      <c r="F185" t="s">
        <v>17</v>
      </c>
      <c r="G185" t="s">
        <v>35</v>
      </c>
      <c r="H185" t="s">
        <v>19</v>
      </c>
      <c r="I185" t="s">
        <v>25</v>
      </c>
      <c r="J185">
        <v>0</v>
      </c>
      <c r="K185">
        <v>2</v>
      </c>
      <c r="L185">
        <v>-2</v>
      </c>
      <c r="M185">
        <v>1.1000000000000001</v>
      </c>
      <c r="N185">
        <v>1</v>
      </c>
      <c r="O185">
        <v>0.10000000000000009</v>
      </c>
      <c r="P185">
        <v>2.1</v>
      </c>
      <c r="Q185">
        <v>25</v>
      </c>
      <c r="R185">
        <v>1</v>
      </c>
      <c r="S185" t="s">
        <v>276</v>
      </c>
      <c r="T185">
        <v>0</v>
      </c>
      <c r="U185" t="s">
        <v>297</v>
      </c>
      <c r="V185">
        <v>0</v>
      </c>
      <c r="W185">
        <v>3510</v>
      </c>
      <c r="X185">
        <v>-1.1000000000000001</v>
      </c>
      <c r="Y185">
        <v>1</v>
      </c>
    </row>
    <row r="186" spans="1:25" x14ac:dyDescent="0.2">
      <c r="A186" t="s">
        <v>239</v>
      </c>
      <c r="B186">
        <v>20</v>
      </c>
      <c r="C186" s="1">
        <v>45111</v>
      </c>
      <c r="D186" t="s">
        <v>16</v>
      </c>
      <c r="E186">
        <v>2023</v>
      </c>
      <c r="F186" t="s">
        <v>17</v>
      </c>
      <c r="G186" t="s">
        <v>24</v>
      </c>
      <c r="H186" t="s">
        <v>19</v>
      </c>
      <c r="I186" t="s">
        <v>25</v>
      </c>
      <c r="J186">
        <v>1</v>
      </c>
      <c r="K186">
        <v>2</v>
      </c>
      <c r="L186">
        <v>-1</v>
      </c>
      <c r="M186">
        <v>1.6</v>
      </c>
      <c r="N186">
        <v>1.4</v>
      </c>
      <c r="O186">
        <v>0.20000000000000018</v>
      </c>
      <c r="P186">
        <v>1.2000000000000002</v>
      </c>
      <c r="Q186">
        <v>90</v>
      </c>
      <c r="R186">
        <v>1</v>
      </c>
      <c r="S186" t="s">
        <v>275</v>
      </c>
      <c r="T186">
        <v>0</v>
      </c>
      <c r="U186" t="s">
        <v>297</v>
      </c>
      <c r="V186">
        <v>0</v>
      </c>
      <c r="W186">
        <v>3510</v>
      </c>
      <c r="X186">
        <v>-0.60000000000000009</v>
      </c>
      <c r="Y186">
        <v>0.60000000000000009</v>
      </c>
    </row>
    <row r="187" spans="1:25" x14ac:dyDescent="0.2">
      <c r="A187" t="s">
        <v>240</v>
      </c>
      <c r="B187">
        <v>21</v>
      </c>
      <c r="C187" s="1">
        <v>45115</v>
      </c>
      <c r="D187" t="s">
        <v>16</v>
      </c>
      <c r="E187">
        <v>2023</v>
      </c>
      <c r="F187" t="s">
        <v>17</v>
      </c>
      <c r="G187" t="s">
        <v>47</v>
      </c>
      <c r="H187" t="s">
        <v>33</v>
      </c>
      <c r="I187" t="s">
        <v>36</v>
      </c>
      <c r="J187">
        <v>1</v>
      </c>
      <c r="K187">
        <v>1</v>
      </c>
      <c r="L187">
        <v>0</v>
      </c>
      <c r="M187">
        <v>1.7</v>
      </c>
      <c r="N187">
        <v>0.6</v>
      </c>
      <c r="O187">
        <v>1.1000000000000001</v>
      </c>
      <c r="P187">
        <v>1.1000000000000001</v>
      </c>
      <c r="Q187">
        <v>18</v>
      </c>
      <c r="R187">
        <v>1</v>
      </c>
      <c r="S187" t="s">
        <v>276</v>
      </c>
      <c r="T187">
        <v>0</v>
      </c>
      <c r="U187" t="s">
        <v>297</v>
      </c>
      <c r="V187">
        <v>0</v>
      </c>
      <c r="W187">
        <v>3510</v>
      </c>
      <c r="X187">
        <v>-0.7</v>
      </c>
      <c r="Y187">
        <v>0.4</v>
      </c>
    </row>
    <row r="188" spans="1:25" x14ac:dyDescent="0.2">
      <c r="A188" t="s">
        <v>241</v>
      </c>
      <c r="B188">
        <v>22</v>
      </c>
      <c r="C188" s="1">
        <v>45119</v>
      </c>
      <c r="D188" t="s">
        <v>16</v>
      </c>
      <c r="E188">
        <v>2023</v>
      </c>
      <c r="F188" t="s">
        <v>17</v>
      </c>
      <c r="G188" t="s">
        <v>242</v>
      </c>
      <c r="H188" t="s">
        <v>33</v>
      </c>
      <c r="I188" t="s">
        <v>20</v>
      </c>
      <c r="J188">
        <v>3</v>
      </c>
      <c r="K188">
        <v>0</v>
      </c>
      <c r="L188">
        <v>3</v>
      </c>
      <c r="M188">
        <v>1.6</v>
      </c>
      <c r="N188">
        <v>0.3</v>
      </c>
      <c r="O188">
        <v>1.3</v>
      </c>
      <c r="P188">
        <v>-1.7</v>
      </c>
      <c r="Q188">
        <v>86</v>
      </c>
      <c r="R188">
        <v>1</v>
      </c>
      <c r="S188" t="s">
        <v>275</v>
      </c>
      <c r="T188">
        <v>1</v>
      </c>
      <c r="U188" t="s">
        <v>297</v>
      </c>
      <c r="V188">
        <v>0</v>
      </c>
      <c r="W188">
        <v>3510</v>
      </c>
      <c r="X188">
        <v>1.4</v>
      </c>
      <c r="Y188">
        <v>-0.3</v>
      </c>
    </row>
    <row r="189" spans="1:25" x14ac:dyDescent="0.2">
      <c r="A189" t="s">
        <v>243</v>
      </c>
      <c r="B189">
        <v>23</v>
      </c>
      <c r="C189" s="1">
        <v>45122</v>
      </c>
      <c r="D189" t="s">
        <v>16</v>
      </c>
      <c r="E189">
        <v>2023</v>
      </c>
      <c r="F189" t="s">
        <v>17</v>
      </c>
      <c r="G189" t="s">
        <v>38</v>
      </c>
      <c r="H189" t="s">
        <v>19</v>
      </c>
      <c r="I189" t="s">
        <v>36</v>
      </c>
      <c r="J189">
        <v>1</v>
      </c>
      <c r="K189">
        <v>1</v>
      </c>
      <c r="L189">
        <v>0</v>
      </c>
      <c r="M189">
        <v>0.9</v>
      </c>
      <c r="N189">
        <v>2</v>
      </c>
      <c r="O189">
        <v>-1.1000000000000001</v>
      </c>
      <c r="P189">
        <v>-1.1000000000000001</v>
      </c>
      <c r="Q189">
        <v>60</v>
      </c>
      <c r="R189">
        <v>1</v>
      </c>
      <c r="S189" t="s">
        <v>277</v>
      </c>
      <c r="T189">
        <v>0</v>
      </c>
      <c r="U189" t="s">
        <v>297</v>
      </c>
      <c r="V189">
        <v>0</v>
      </c>
      <c r="W189">
        <v>3510</v>
      </c>
      <c r="X189">
        <v>9.9999999999999978E-2</v>
      </c>
      <c r="Y189">
        <v>-1</v>
      </c>
    </row>
    <row r="190" spans="1:25" x14ac:dyDescent="0.2">
      <c r="A190" t="s">
        <v>244</v>
      </c>
      <c r="B190">
        <v>24</v>
      </c>
      <c r="C190" s="1">
        <v>45161</v>
      </c>
      <c r="D190" t="s">
        <v>16</v>
      </c>
      <c r="E190">
        <v>2023</v>
      </c>
      <c r="F190" t="s">
        <v>17</v>
      </c>
      <c r="G190" t="s">
        <v>65</v>
      </c>
      <c r="H190" t="s">
        <v>33</v>
      </c>
      <c r="I190" t="s">
        <v>20</v>
      </c>
      <c r="J190">
        <v>4</v>
      </c>
      <c r="K190">
        <v>0</v>
      </c>
      <c r="L190">
        <v>4</v>
      </c>
      <c r="M190">
        <v>2.8</v>
      </c>
      <c r="N190">
        <v>0.6</v>
      </c>
      <c r="O190">
        <v>2.1999999999999997</v>
      </c>
      <c r="P190">
        <v>-1.8000000000000003</v>
      </c>
      <c r="Q190">
        <v>64</v>
      </c>
      <c r="R190">
        <v>1</v>
      </c>
      <c r="S190" t="s">
        <v>277</v>
      </c>
      <c r="T190">
        <v>1</v>
      </c>
      <c r="U190" t="s">
        <v>297</v>
      </c>
      <c r="V190">
        <v>0</v>
      </c>
      <c r="W190">
        <v>3510</v>
      </c>
      <c r="X190">
        <v>1.2000000000000002</v>
      </c>
      <c r="Y190">
        <v>-0.6</v>
      </c>
    </row>
    <row r="191" spans="1:25" x14ac:dyDescent="0.2">
      <c r="A191" t="s">
        <v>245</v>
      </c>
      <c r="B191">
        <v>25</v>
      </c>
      <c r="C191" s="1">
        <v>45164</v>
      </c>
      <c r="D191" t="s">
        <v>16</v>
      </c>
      <c r="E191">
        <v>2023</v>
      </c>
      <c r="F191" t="s">
        <v>17</v>
      </c>
      <c r="G191" t="s">
        <v>205</v>
      </c>
      <c r="H191" t="s">
        <v>19</v>
      </c>
      <c r="I191" t="s">
        <v>25</v>
      </c>
      <c r="J191">
        <v>1</v>
      </c>
      <c r="K191">
        <v>2</v>
      </c>
      <c r="L191">
        <v>-1</v>
      </c>
      <c r="M191">
        <v>2.2999999999999998</v>
      </c>
      <c r="N191">
        <v>1.8</v>
      </c>
      <c r="O191">
        <v>0.49999999999999978</v>
      </c>
      <c r="P191">
        <v>1.4999999999999998</v>
      </c>
      <c r="Q191">
        <v>63</v>
      </c>
      <c r="R191">
        <v>1</v>
      </c>
      <c r="S191" t="s">
        <v>277</v>
      </c>
      <c r="T191">
        <v>0</v>
      </c>
      <c r="U191" t="s">
        <v>297</v>
      </c>
      <c r="V191">
        <v>0</v>
      </c>
      <c r="W191">
        <v>3510</v>
      </c>
      <c r="X191">
        <v>-1.2999999999999998</v>
      </c>
      <c r="Y191">
        <v>0.19999999999999996</v>
      </c>
    </row>
    <row r="192" spans="1:25" x14ac:dyDescent="0.2">
      <c r="A192" t="s">
        <v>246</v>
      </c>
      <c r="B192">
        <v>26</v>
      </c>
      <c r="C192" s="1">
        <v>45172</v>
      </c>
      <c r="D192" t="s">
        <v>16</v>
      </c>
      <c r="E192">
        <v>2023</v>
      </c>
      <c r="F192" t="s">
        <v>17</v>
      </c>
      <c r="G192" t="s">
        <v>120</v>
      </c>
      <c r="H192" t="s">
        <v>33</v>
      </c>
      <c r="I192" t="s">
        <v>25</v>
      </c>
      <c r="J192">
        <v>1</v>
      </c>
      <c r="K192">
        <v>3</v>
      </c>
      <c r="L192">
        <v>-2</v>
      </c>
      <c r="M192">
        <v>2.2999999999999998</v>
      </c>
      <c r="N192">
        <v>2.1</v>
      </c>
      <c r="O192">
        <v>0.19999999999999973</v>
      </c>
      <c r="P192">
        <v>2.1999999999999997</v>
      </c>
      <c r="Q192">
        <v>90</v>
      </c>
      <c r="R192">
        <v>1</v>
      </c>
      <c r="S192" t="s">
        <v>275</v>
      </c>
      <c r="T192">
        <v>0</v>
      </c>
      <c r="U192" t="s">
        <v>297</v>
      </c>
      <c r="V192">
        <v>0</v>
      </c>
      <c r="W192">
        <v>3510</v>
      </c>
      <c r="X192">
        <v>-1.2999999999999998</v>
      </c>
      <c r="Y192">
        <v>0.89999999999999991</v>
      </c>
    </row>
    <row r="193" spans="1:25" x14ac:dyDescent="0.2">
      <c r="A193" t="s">
        <v>247</v>
      </c>
      <c r="B193">
        <v>27</v>
      </c>
      <c r="C193" s="1">
        <v>45178</v>
      </c>
      <c r="D193" t="s">
        <v>16</v>
      </c>
      <c r="E193">
        <v>2023</v>
      </c>
      <c r="F193" t="s">
        <v>17</v>
      </c>
      <c r="G193" t="s">
        <v>42</v>
      </c>
      <c r="H193" t="s">
        <v>19</v>
      </c>
      <c r="I193" t="s">
        <v>25</v>
      </c>
      <c r="J193">
        <v>0</v>
      </c>
      <c r="K193">
        <v>2</v>
      </c>
      <c r="L193">
        <v>-2</v>
      </c>
      <c r="M193">
        <v>1.1000000000000001</v>
      </c>
      <c r="N193">
        <v>2.2000000000000002</v>
      </c>
      <c r="O193">
        <v>-1.1000000000000001</v>
      </c>
      <c r="P193">
        <v>0.89999999999999991</v>
      </c>
      <c r="Q193">
        <v>90</v>
      </c>
      <c r="R193">
        <v>1</v>
      </c>
      <c r="S193" t="s">
        <v>275</v>
      </c>
      <c r="T193">
        <v>0</v>
      </c>
      <c r="U193" t="s">
        <v>297</v>
      </c>
      <c r="V193">
        <v>0</v>
      </c>
      <c r="W193">
        <v>3510</v>
      </c>
      <c r="X193">
        <v>-1.1000000000000001</v>
      </c>
      <c r="Y193">
        <v>-0.20000000000000018</v>
      </c>
    </row>
    <row r="194" spans="1:25" x14ac:dyDescent="0.2">
      <c r="A194" t="s">
        <v>248</v>
      </c>
      <c r="B194">
        <v>28</v>
      </c>
      <c r="C194" s="1">
        <v>45185</v>
      </c>
      <c r="D194" t="s">
        <v>16</v>
      </c>
      <c r="E194">
        <v>2023</v>
      </c>
      <c r="F194" t="s">
        <v>17</v>
      </c>
      <c r="G194" t="s">
        <v>24</v>
      </c>
      <c r="H194" t="s">
        <v>33</v>
      </c>
      <c r="I194" t="s">
        <v>20</v>
      </c>
      <c r="J194">
        <v>4</v>
      </c>
      <c r="K194">
        <v>2</v>
      </c>
      <c r="L194">
        <v>2</v>
      </c>
      <c r="M194">
        <v>1.5</v>
      </c>
      <c r="N194">
        <v>0.8</v>
      </c>
      <c r="O194">
        <v>0.7</v>
      </c>
      <c r="P194">
        <v>-1.3</v>
      </c>
      <c r="Q194">
        <v>77</v>
      </c>
      <c r="R194">
        <v>1</v>
      </c>
      <c r="S194" t="s">
        <v>275</v>
      </c>
      <c r="T194">
        <v>1</v>
      </c>
      <c r="U194" t="s">
        <v>297</v>
      </c>
      <c r="V194">
        <v>0</v>
      </c>
      <c r="W194">
        <v>3510</v>
      </c>
      <c r="X194">
        <v>2.5</v>
      </c>
      <c r="Y194">
        <v>1.2</v>
      </c>
    </row>
    <row r="195" spans="1:25" x14ac:dyDescent="0.2">
      <c r="A195" t="s">
        <v>249</v>
      </c>
      <c r="B195">
        <v>29</v>
      </c>
      <c r="C195" s="1">
        <v>45189</v>
      </c>
      <c r="D195" t="s">
        <v>16</v>
      </c>
      <c r="E195">
        <v>2023</v>
      </c>
      <c r="F195" t="s">
        <v>17</v>
      </c>
      <c r="G195" t="s">
        <v>242</v>
      </c>
      <c r="H195" t="s">
        <v>19</v>
      </c>
      <c r="I195" t="s">
        <v>36</v>
      </c>
      <c r="J195">
        <v>0</v>
      </c>
      <c r="K195">
        <v>0</v>
      </c>
      <c r="L195">
        <v>0</v>
      </c>
      <c r="M195">
        <v>0.7</v>
      </c>
      <c r="N195">
        <v>0.6</v>
      </c>
      <c r="O195">
        <v>9.9999999999999978E-2</v>
      </c>
      <c r="P195">
        <v>9.9999999999999978E-2</v>
      </c>
      <c r="Q195">
        <v>30</v>
      </c>
      <c r="R195">
        <v>1</v>
      </c>
      <c r="S195" t="s">
        <v>276</v>
      </c>
      <c r="T195">
        <v>0</v>
      </c>
      <c r="U195" t="s">
        <v>297</v>
      </c>
      <c r="V195">
        <v>0</v>
      </c>
      <c r="W195">
        <v>3510</v>
      </c>
      <c r="X195">
        <v>-0.7</v>
      </c>
      <c r="Y195">
        <v>-0.6</v>
      </c>
    </row>
    <row r="196" spans="1:25" x14ac:dyDescent="0.2">
      <c r="A196" t="s">
        <v>250</v>
      </c>
      <c r="B196">
        <v>30</v>
      </c>
      <c r="C196" s="1">
        <v>45192</v>
      </c>
      <c r="D196" t="s">
        <v>16</v>
      </c>
      <c r="E196">
        <v>2023</v>
      </c>
      <c r="F196" t="s">
        <v>17</v>
      </c>
      <c r="G196" t="s">
        <v>51</v>
      </c>
      <c r="H196" t="s">
        <v>19</v>
      </c>
      <c r="I196" t="s">
        <v>36</v>
      </c>
      <c r="J196">
        <v>0</v>
      </c>
      <c r="K196">
        <v>0</v>
      </c>
      <c r="L196">
        <v>0</v>
      </c>
      <c r="M196">
        <v>0</v>
      </c>
      <c r="N196">
        <v>0.3</v>
      </c>
      <c r="O196">
        <v>-0.3</v>
      </c>
      <c r="P196">
        <v>-0.3</v>
      </c>
      <c r="Q196">
        <v>19</v>
      </c>
      <c r="R196">
        <v>1</v>
      </c>
      <c r="S196" t="s">
        <v>276</v>
      </c>
      <c r="T196">
        <v>0</v>
      </c>
      <c r="U196" t="s">
        <v>297</v>
      </c>
      <c r="V196">
        <v>0</v>
      </c>
      <c r="W196">
        <v>3510</v>
      </c>
      <c r="X196">
        <v>0</v>
      </c>
      <c r="Y196">
        <v>-0.3</v>
      </c>
    </row>
    <row r="197" spans="1:25" x14ac:dyDescent="0.2">
      <c r="A197" t="s">
        <v>251</v>
      </c>
      <c r="B197">
        <v>31</v>
      </c>
      <c r="C197" s="1">
        <v>45200</v>
      </c>
      <c r="D197" t="s">
        <v>16</v>
      </c>
      <c r="E197">
        <v>2023</v>
      </c>
      <c r="F197" t="s">
        <v>17</v>
      </c>
      <c r="G197" t="s">
        <v>22</v>
      </c>
      <c r="H197" t="s">
        <v>33</v>
      </c>
      <c r="I197" t="s">
        <v>25</v>
      </c>
      <c r="J197">
        <v>0</v>
      </c>
      <c r="K197">
        <v>1</v>
      </c>
      <c r="L197">
        <v>-1</v>
      </c>
      <c r="M197">
        <v>1.2</v>
      </c>
      <c r="N197">
        <v>0.5</v>
      </c>
      <c r="O197">
        <v>0.7</v>
      </c>
      <c r="P197">
        <v>1.7</v>
      </c>
      <c r="Q197">
        <v>90</v>
      </c>
      <c r="R197">
        <v>1</v>
      </c>
      <c r="S197" t="s">
        <v>275</v>
      </c>
      <c r="T197">
        <v>0</v>
      </c>
      <c r="U197" t="s">
        <v>297</v>
      </c>
      <c r="V197">
        <v>0</v>
      </c>
      <c r="W197">
        <v>3510</v>
      </c>
      <c r="X197">
        <v>-1.2</v>
      </c>
      <c r="Y197">
        <v>0.5</v>
      </c>
    </row>
    <row r="198" spans="1:25" x14ac:dyDescent="0.2">
      <c r="A198" t="s">
        <v>252</v>
      </c>
      <c r="B198">
        <v>32</v>
      </c>
      <c r="C198" s="1">
        <v>45203</v>
      </c>
      <c r="D198" t="s">
        <v>16</v>
      </c>
      <c r="E198">
        <v>2023</v>
      </c>
      <c r="F198" t="s">
        <v>17</v>
      </c>
      <c r="G198" t="s">
        <v>38</v>
      </c>
      <c r="H198" t="s">
        <v>33</v>
      </c>
      <c r="I198" t="s">
        <v>20</v>
      </c>
      <c r="J198">
        <v>5</v>
      </c>
      <c r="K198">
        <v>1</v>
      </c>
      <c r="L198">
        <v>4</v>
      </c>
      <c r="M198">
        <v>3.7</v>
      </c>
      <c r="N198">
        <v>1.6</v>
      </c>
      <c r="O198">
        <v>2.1</v>
      </c>
      <c r="P198">
        <v>-1.9</v>
      </c>
      <c r="Q198">
        <v>68</v>
      </c>
      <c r="R198">
        <v>1</v>
      </c>
      <c r="S198" t="s">
        <v>277</v>
      </c>
      <c r="T198">
        <v>1</v>
      </c>
      <c r="U198" t="s">
        <v>297</v>
      </c>
      <c r="V198">
        <v>0</v>
      </c>
      <c r="W198">
        <v>3510</v>
      </c>
      <c r="X198">
        <v>1.2999999999999998</v>
      </c>
      <c r="Y198">
        <v>-0.60000000000000009</v>
      </c>
    </row>
    <row r="199" spans="1:25" x14ac:dyDescent="0.2">
      <c r="A199" t="s">
        <v>253</v>
      </c>
      <c r="B199">
        <v>33</v>
      </c>
      <c r="C199" s="1">
        <v>45206</v>
      </c>
      <c r="D199" t="s">
        <v>16</v>
      </c>
      <c r="E199">
        <v>2023</v>
      </c>
      <c r="F199" t="s">
        <v>17</v>
      </c>
      <c r="G199" t="s">
        <v>146</v>
      </c>
      <c r="H199" t="s">
        <v>19</v>
      </c>
      <c r="I199" t="s">
        <v>20</v>
      </c>
      <c r="J199">
        <v>4</v>
      </c>
      <c r="K199">
        <v>2</v>
      </c>
      <c r="L199">
        <v>2</v>
      </c>
      <c r="M199">
        <v>3</v>
      </c>
      <c r="N199">
        <v>0.4</v>
      </c>
      <c r="O199">
        <v>2.6</v>
      </c>
      <c r="P199">
        <v>0.60000000000000009</v>
      </c>
      <c r="Q199">
        <v>29</v>
      </c>
      <c r="R199">
        <v>1</v>
      </c>
      <c r="S199" t="s">
        <v>276</v>
      </c>
      <c r="T199">
        <v>1</v>
      </c>
      <c r="U199" t="s">
        <v>297</v>
      </c>
      <c r="V199">
        <v>0</v>
      </c>
      <c r="W199">
        <v>3510</v>
      </c>
      <c r="X199">
        <v>1</v>
      </c>
      <c r="Y199">
        <v>1.6</v>
      </c>
    </row>
    <row r="200" spans="1:25" x14ac:dyDescent="0.2">
      <c r="A200" t="s">
        <v>254</v>
      </c>
      <c r="B200">
        <v>34</v>
      </c>
      <c r="C200" s="1">
        <v>45220</v>
      </c>
      <c r="D200" t="s">
        <v>16</v>
      </c>
      <c r="E200">
        <v>2023</v>
      </c>
      <c r="F200" t="s">
        <v>17</v>
      </c>
      <c r="G200" t="s">
        <v>29</v>
      </c>
      <c r="H200" t="s">
        <v>19</v>
      </c>
      <c r="I200" t="s">
        <v>36</v>
      </c>
      <c r="J200">
        <v>1</v>
      </c>
      <c r="K200">
        <v>1</v>
      </c>
      <c r="L200">
        <v>0</v>
      </c>
      <c r="M200">
        <v>1.6</v>
      </c>
      <c r="N200">
        <v>2</v>
      </c>
      <c r="O200">
        <v>-0.39999999999999991</v>
      </c>
      <c r="P200">
        <v>-0.39999999999999991</v>
      </c>
      <c r="Q200">
        <v>85</v>
      </c>
      <c r="R200">
        <v>1</v>
      </c>
      <c r="S200" t="s">
        <v>275</v>
      </c>
      <c r="T200">
        <v>0</v>
      </c>
      <c r="U200" t="s">
        <v>297</v>
      </c>
      <c r="V200">
        <v>0</v>
      </c>
      <c r="W200">
        <v>3510</v>
      </c>
      <c r="X200">
        <v>-0.60000000000000009</v>
      </c>
      <c r="Y200">
        <v>-1</v>
      </c>
    </row>
    <row r="201" spans="1:25" x14ac:dyDescent="0.2">
      <c r="A201" t="s">
        <v>255</v>
      </c>
      <c r="B201">
        <v>35</v>
      </c>
      <c r="C201" s="1">
        <v>45227</v>
      </c>
      <c r="D201" t="s">
        <v>16</v>
      </c>
      <c r="E201">
        <v>2023</v>
      </c>
      <c r="F201" t="s">
        <v>256</v>
      </c>
      <c r="G201" t="s">
        <v>29</v>
      </c>
      <c r="H201" t="s">
        <v>33</v>
      </c>
      <c r="I201" t="s">
        <v>20</v>
      </c>
      <c r="J201">
        <v>5</v>
      </c>
      <c r="K201">
        <v>2</v>
      </c>
      <c r="L201">
        <v>3</v>
      </c>
      <c r="M201">
        <v>1.3</v>
      </c>
      <c r="N201">
        <v>0.5</v>
      </c>
      <c r="O201">
        <v>0.8</v>
      </c>
      <c r="P201">
        <v>-2.2000000000000002</v>
      </c>
      <c r="Q201">
        <v>71</v>
      </c>
      <c r="R201">
        <v>1</v>
      </c>
      <c r="S201" t="s">
        <v>275</v>
      </c>
      <c r="T201">
        <v>1</v>
      </c>
      <c r="U201" t="s">
        <v>297</v>
      </c>
      <c r="V201">
        <v>0</v>
      </c>
      <c r="W201">
        <v>3510</v>
      </c>
      <c r="X201">
        <v>3.7</v>
      </c>
      <c r="Y201">
        <v>1.5</v>
      </c>
    </row>
    <row r="202" spans="1:25" x14ac:dyDescent="0.2">
      <c r="A202" t="s">
        <v>257</v>
      </c>
      <c r="B202">
        <v>36</v>
      </c>
      <c r="C202" s="1">
        <v>45235</v>
      </c>
      <c r="D202" t="s">
        <v>16</v>
      </c>
      <c r="E202">
        <v>2023</v>
      </c>
      <c r="F202" t="s">
        <v>256</v>
      </c>
      <c r="G202" t="s">
        <v>29</v>
      </c>
      <c r="H202" t="s">
        <v>19</v>
      </c>
      <c r="I202" t="s">
        <v>20</v>
      </c>
      <c r="J202">
        <v>1</v>
      </c>
      <c r="K202">
        <v>0</v>
      </c>
      <c r="L202">
        <v>1</v>
      </c>
      <c r="M202">
        <v>1.3</v>
      </c>
      <c r="N202">
        <v>1</v>
      </c>
      <c r="O202">
        <v>0.30000000000000004</v>
      </c>
      <c r="P202">
        <v>-0.7</v>
      </c>
      <c r="Q202">
        <v>4</v>
      </c>
      <c r="R202">
        <v>1</v>
      </c>
      <c r="S202" t="s">
        <v>276</v>
      </c>
      <c r="T202">
        <v>1</v>
      </c>
      <c r="U202" t="s">
        <v>297</v>
      </c>
      <c r="V202">
        <v>0</v>
      </c>
      <c r="W202">
        <v>3510</v>
      </c>
      <c r="X202">
        <v>-0.30000000000000004</v>
      </c>
      <c r="Y202">
        <v>-1</v>
      </c>
    </row>
    <row r="203" spans="1:25" x14ac:dyDescent="0.2">
      <c r="A203" t="s">
        <v>258</v>
      </c>
      <c r="B203">
        <v>37</v>
      </c>
      <c r="C203" s="1">
        <v>45256</v>
      </c>
      <c r="D203" t="s">
        <v>16</v>
      </c>
      <c r="E203">
        <v>2023</v>
      </c>
      <c r="F203" t="s">
        <v>116</v>
      </c>
      <c r="G203" t="s">
        <v>18</v>
      </c>
      <c r="H203" t="s">
        <v>19</v>
      </c>
      <c r="I203" t="s">
        <v>20</v>
      </c>
      <c r="J203">
        <v>1</v>
      </c>
      <c r="K203">
        <v>0</v>
      </c>
      <c r="L203">
        <v>1</v>
      </c>
      <c r="M203">
        <v>0.4</v>
      </c>
      <c r="N203">
        <v>1.3</v>
      </c>
      <c r="O203">
        <v>-0.9</v>
      </c>
      <c r="P203">
        <v>-1.9</v>
      </c>
      <c r="Q203">
        <v>78</v>
      </c>
      <c r="R203">
        <v>1</v>
      </c>
      <c r="S203" t="s">
        <v>275</v>
      </c>
      <c r="T203">
        <v>1</v>
      </c>
      <c r="U203" t="s">
        <v>297</v>
      </c>
      <c r="V203">
        <v>0</v>
      </c>
      <c r="W203">
        <v>3510</v>
      </c>
      <c r="X203">
        <v>0.6</v>
      </c>
      <c r="Y203">
        <v>-1.3</v>
      </c>
    </row>
    <row r="204" spans="1:25" x14ac:dyDescent="0.2">
      <c r="A204" t="s">
        <v>259</v>
      </c>
      <c r="B204">
        <v>38</v>
      </c>
      <c r="C204" s="1">
        <v>45262</v>
      </c>
      <c r="D204" t="s">
        <v>16</v>
      </c>
      <c r="E204">
        <v>2023</v>
      </c>
      <c r="F204" t="s">
        <v>118</v>
      </c>
      <c r="G204" t="s">
        <v>53</v>
      </c>
      <c r="H204" t="s">
        <v>33</v>
      </c>
      <c r="I204" t="s">
        <v>20</v>
      </c>
      <c r="J204">
        <v>2</v>
      </c>
      <c r="K204">
        <v>0</v>
      </c>
      <c r="L204">
        <v>2</v>
      </c>
      <c r="M204">
        <v>1.8</v>
      </c>
      <c r="N204">
        <v>0.5</v>
      </c>
      <c r="O204">
        <v>1.3</v>
      </c>
      <c r="P204">
        <v>-0.7</v>
      </c>
      <c r="Q204">
        <v>77</v>
      </c>
      <c r="R204">
        <v>1</v>
      </c>
      <c r="S204" t="s">
        <v>275</v>
      </c>
      <c r="T204">
        <v>1</v>
      </c>
      <c r="U204" t="s">
        <v>297</v>
      </c>
      <c r="V204">
        <v>0</v>
      </c>
      <c r="W204">
        <v>3510</v>
      </c>
      <c r="X204">
        <v>0.19999999999999996</v>
      </c>
      <c r="Y204">
        <v>-0.5</v>
      </c>
    </row>
    <row r="205" spans="1:25" x14ac:dyDescent="0.2">
      <c r="A205" t="s">
        <v>260</v>
      </c>
      <c r="B205">
        <v>39</v>
      </c>
      <c r="C205" s="1">
        <v>45269</v>
      </c>
      <c r="D205" t="s">
        <v>16</v>
      </c>
      <c r="E205">
        <v>2023</v>
      </c>
      <c r="F205" t="s">
        <v>219</v>
      </c>
      <c r="G205" t="s">
        <v>49</v>
      </c>
      <c r="H205" t="s">
        <v>19</v>
      </c>
      <c r="I205" t="s">
        <v>25</v>
      </c>
      <c r="J205">
        <v>1</v>
      </c>
      <c r="K205">
        <v>2</v>
      </c>
      <c r="L205">
        <v>-1</v>
      </c>
      <c r="M205">
        <v>0.8</v>
      </c>
      <c r="N205">
        <v>2</v>
      </c>
      <c r="O205">
        <v>-1.2</v>
      </c>
      <c r="P205">
        <v>-0.19999999999999996</v>
      </c>
      <c r="Q205">
        <v>90</v>
      </c>
      <c r="R205">
        <v>1</v>
      </c>
      <c r="S205" t="s">
        <v>275</v>
      </c>
      <c r="T205">
        <v>0</v>
      </c>
      <c r="U205" t="s">
        <v>297</v>
      </c>
      <c r="V205">
        <v>0</v>
      </c>
      <c r="W205">
        <v>3510</v>
      </c>
      <c r="X205">
        <v>0.19999999999999996</v>
      </c>
      <c r="Y205">
        <v>0</v>
      </c>
    </row>
  </sheetData>
  <phoneticPr fontId="1" type="noConversion"/>
  <conditionalFormatting sqref="I2:I205">
    <cfRule type="containsText" dxfId="5" priority="1" operator="containsText" text="D">
      <formula>NOT(ISERROR(SEARCH("D",I2)))</formula>
    </cfRule>
    <cfRule type="containsText" dxfId="4" priority="8" operator="containsText" text="W">
      <formula>NOT(ISERROR(SEARCH("W",I2)))</formula>
    </cfRule>
    <cfRule type="containsText" dxfId="3" priority="9" operator="containsText" text="L">
      <formula>NOT(ISERROR(SEARCH("L",I2)))</formula>
    </cfRule>
  </conditionalFormatting>
  <conditionalFormatting sqref="Q2:Q205">
    <cfRule type="cellIs" dxfId="2" priority="2" operator="lessThanOrEqual">
      <formula>30</formula>
    </cfRule>
    <cfRule type="cellIs" dxfId="1" priority="3" operator="between">
      <formula>31</formula>
      <formula>69</formula>
    </cfRule>
    <cfRule type="cellIs" dxfId="0" priority="4" operator="greaterThanOrEqual">
      <formula>70</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C55E61-D122-F94B-823E-89014FA7834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FinalLAFC_combined_analysis_CSV</vt:lpstr>
      <vt:lpstr>Final_Visualizations</vt:lpstr>
      <vt:lpstr>Final_Visualization_PivotTables</vt:lpstr>
      <vt:lpstr>Vela_combined_all_matches</vt:lpstr>
      <vt:lpstr>TestPivots</vt:lpstr>
      <vt:lpstr>Original_LAFC_combined_analysis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Nathan Chapero</dc:creator>
  <cp:lastModifiedBy>Nathan Chapero</cp:lastModifiedBy>
  <dcterms:created xsi:type="dcterms:W3CDTF">2025-10-16T03:37:08Z</dcterms:created>
  <dcterms:modified xsi:type="dcterms:W3CDTF">2026-02-18T16:58:23Z</dcterms:modified>
</cp:coreProperties>
</file>